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defaultThemeVersion="166925"/>
  <mc:AlternateContent xmlns:mc="http://schemas.openxmlformats.org/markup-compatibility/2006">
    <mc:Choice Requires="x15">
      <x15ac:absPath xmlns:x15ac="http://schemas.microsoft.com/office/spreadsheetml/2010/11/ac" url="C:\Users\FDuzenli\Desktop\"/>
    </mc:Choice>
  </mc:AlternateContent>
  <xr:revisionPtr revIDLastSave="0" documentId="13_ncr:1_{215F31E0-F814-4179-877E-165E0614E2D8}" xr6:coauthVersionLast="44" xr6:coauthVersionMax="45" xr10:uidLastSave="{00000000-0000-0000-0000-000000000000}"/>
  <bookViews>
    <workbookView xWindow="900" yWindow="-120" windowWidth="28020" windowHeight="16440" firstSheet="2" activeTab="2" xr2:uid="{01C31BAD-D7F8-48E1-AFB2-AC2FA4963A09}"/>
  </bookViews>
  <sheets>
    <sheet name="All Countries Data - Prev" sheetId="10" state="hidden" r:id="rId1"/>
    <sheet name="All Countries Data - Current" sheetId="7" state="hidden" r:id="rId2"/>
    <sheet name="Summary" sheetId="8" r:id="rId3"/>
    <sheet name="Increase From Previous Day" sheetId="9" r:id="rId4"/>
  </sheets>
  <definedNames>
    <definedName name="ExternalData_1" localSheetId="1" hidden="1">'All Countries Data - Current'!$A$1:$D$230</definedName>
    <definedName name="ExternalData_1" localSheetId="3" hidden="1">'Increase From Previous Day'!#REF!</definedName>
  </definedNames>
  <calcPr calcId="191029"/>
  <pivotCaches>
    <pivotCache cacheId="3"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9" l="1"/>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 i="9"/>
  <c r="C2" i="9"/>
  <c r="B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051E08-57C0-4686-A47E-7B9DC0655663}" keepAlive="1" name="Query - [show all]  vte  COVID-19 pandemic by country and territory" description="Connection to the '[show all]  vte  COVID-19 pandemic by country and territory' query in the workbook." type="5" refreshedVersion="6" background="1" saveData="1">
    <dbPr connection="Provider=Microsoft.Mashup.OleDb.1;Data Source=$Workbook$;Location=&quot;[show all]  vte  COVID-19 pandemic by country and territory&quot;;Extended Properties=&quot;&quot;" command="SELECT * FROM [[show all]]  vte  COVID-19 pandemic by country and territory]"/>
  </connection>
  <connection id="2" xr16:uid="{CAEA9423-03FF-41EB-A530-6EF6ACC8F5DA}" keepAlive="1" name="Query - [show all]  vte  COVID-19 pandemic by country and territory (2)" description="Connection to the '[show all]  vte  COVID-19 pandemic by country and territory (2)' query in the workbook." type="5" refreshedVersion="6" background="1" saveData="1">
    <dbPr connection="Provider=Microsoft.Mashup.OleDb.1;Data Source=$Workbook$;Location=&quot;[show all]  vte  COVID-19 pandemic by country and territory (2)&quot;;Extended Properties=&quot;&quot;" command="SELECT * FROM [[show all]]  vte  COVID-19 pandemic by country and territory (2)]"/>
  </connection>
  <connection id="3" xr16:uid="{A2FF060B-61B4-4AF4-A761-2DE0DB555A2D}" keepAlive="1" name="Query - [show all]  vte  COVID-19 pandemic by country and territory (3)" description="Connection to the '[show all]  vte  COVID-19 pandemic by country and territory (3)' query in the workbook." type="5" refreshedVersion="6" background="1" saveData="1">
    <dbPr connection="Provider=Microsoft.Mashup.OleDb.1;Data Source=$Workbook$;Location=&quot;[show all]  vte  COVID-19 pandemic by country and territory (3)&quot;;Extended Properties=&quot;&quot;" command="SELECT * FROM [[show all]]  vte  COVID-19 pandemic by country and territory (3)]"/>
  </connection>
  <connection id="4" xr16:uid="{7A1ED7CA-5959-49A0-B350-B9482E2545F6}" keepAlive="1" name="Query - [show all]  vte  COVID-19 pandemic by country and territory (4)" description="Connection to the '[show all]  vte  COVID-19 pandemic by country and territory (4)' query in the workbook." type="5" refreshedVersion="6" background="1" saveData="1">
    <dbPr connection="Provider=Microsoft.Mashup.OleDb.1;Data Source=$Workbook$;Location=&quot;[show all]  vte  COVID-19 pandemic by country and territory (4)&quot;;Extended Properties=&quot;&quot;" command="SELECT * FROM [[show all]]  vte  COVID-19 pandemic by country and territory (4)]"/>
  </connection>
  <connection id="5" xr16:uid="{EA74509B-25D8-42BD-BB73-EB7304184DE3}" keepAlive="1" name="Query - [show all]  vte  COVID-19 pandemic by country and territory (5)" description="Connection to the '[show all]  vte  COVID-19 pandemic by country and territory (5)' query in the workbook." type="5" refreshedVersion="6" background="1" saveData="1">
    <dbPr connection="Provider=Microsoft.Mashup.OleDb.1;Data Source=$Workbook$;Location=&quot;[show all]  vte  COVID-19 pandemic by country and territory (5)&quot;;Extended Properties=&quot;&quot;" command="SELECT * FROM [[show all]]  vte  COVID-19 pandemic by country and territory (5)]"/>
  </connection>
  <connection id="6" xr16:uid="{7481C1EF-8A58-4E3E-B9A6-E7371A3AAC87}" keepAlive="1" name="Query - Query2" description="Connection to the 'Query2' query in the workbook." type="5" refreshedVersion="6" background="1" saveData="1">
    <dbPr connection="Provider=Microsoft.Mashup.OleDb.1;Data Source=$Workbook$;Location=Query2;Extended Properties=&quot;&quot;" command="SELECT * FROM [Query2]"/>
  </connection>
</connections>
</file>

<file path=xl/sharedStrings.xml><?xml version="1.0" encoding="utf-8"?>
<sst xmlns="http://schemas.openxmlformats.org/spreadsheetml/2006/main" count="736" uniqueCount="245">
  <si>
    <t>Angola</t>
  </si>
  <si>
    <t>Burundi</t>
  </si>
  <si>
    <t>Benin</t>
  </si>
  <si>
    <t>Burkina Faso</t>
  </si>
  <si>
    <t>Botswana</t>
  </si>
  <si>
    <t>Central African Republic</t>
  </si>
  <si>
    <t>Uganda</t>
  </si>
  <si>
    <t>South Africa</t>
  </si>
  <si>
    <t>Zambia</t>
  </si>
  <si>
    <t>Zimbabwe</t>
  </si>
  <si>
    <t>South Sudan</t>
  </si>
  <si>
    <t>Eswatini</t>
  </si>
  <si>
    <t>Seychelles</t>
  </si>
  <si>
    <t>Chad</t>
  </si>
  <si>
    <t>Togo</t>
  </si>
  <si>
    <t>Namibia</t>
  </si>
  <si>
    <t>Niger</t>
  </si>
  <si>
    <t>Nigeria</t>
  </si>
  <si>
    <t>Rwanda</t>
  </si>
  <si>
    <t>Senegal</t>
  </si>
  <si>
    <t>Sierra Leone</t>
  </si>
  <si>
    <t>Madagascar</t>
  </si>
  <si>
    <t>Mali</t>
  </si>
  <si>
    <t>Mozambique</t>
  </si>
  <si>
    <t>Mauritania</t>
  </si>
  <si>
    <t>Mauritius</t>
  </si>
  <si>
    <t>Malawi</t>
  </si>
  <si>
    <t>Guinea-Bissau</t>
  </si>
  <si>
    <t>Equatorial Guinea</t>
  </si>
  <si>
    <t>Kenya</t>
  </si>
  <si>
    <t>Liberia</t>
  </si>
  <si>
    <t>Lesotho</t>
  </si>
  <si>
    <t>Algeria</t>
  </si>
  <si>
    <t>Eritrea</t>
  </si>
  <si>
    <t>Ethiopia</t>
  </si>
  <si>
    <t>Gabon</t>
  </si>
  <si>
    <t>Ghana</t>
  </si>
  <si>
    <t>Guinea</t>
  </si>
  <si>
    <t>Cameroon</t>
  </si>
  <si>
    <t>Congo</t>
  </si>
  <si>
    <t>Comoros</t>
  </si>
  <si>
    <t>Argentina</t>
  </si>
  <si>
    <t>Bahamas</t>
  </si>
  <si>
    <t>Belize</t>
  </si>
  <si>
    <t>Puerto Rico</t>
  </si>
  <si>
    <t>Paraguay</t>
  </si>
  <si>
    <t>El Salvador</t>
  </si>
  <si>
    <t>Suriname</t>
  </si>
  <si>
    <t>Uruguay</t>
  </si>
  <si>
    <t>Saint Lucia</t>
  </si>
  <si>
    <t>Mexico</t>
  </si>
  <si>
    <t>Nicaragua</t>
  </si>
  <si>
    <t>Panama</t>
  </si>
  <si>
    <t>Peru</t>
  </si>
  <si>
    <t>Grenada</t>
  </si>
  <si>
    <t>Guatemala</t>
  </si>
  <si>
    <t>Guyana</t>
  </si>
  <si>
    <t>Honduras</t>
  </si>
  <si>
    <t>Haiti</t>
  </si>
  <si>
    <t>Jamaica</t>
  </si>
  <si>
    <t>Costa Rica</t>
  </si>
  <si>
    <t>Cuba</t>
  </si>
  <si>
    <t>Dominica</t>
  </si>
  <si>
    <t>Dominican Republic</t>
  </si>
  <si>
    <t>Ecuador</t>
  </si>
  <si>
    <t>Brazil</t>
  </si>
  <si>
    <t>Barbados</t>
  </si>
  <si>
    <t>Canada</t>
  </si>
  <si>
    <t>Chile</t>
  </si>
  <si>
    <t>Colombia</t>
  </si>
  <si>
    <t>Afghanistan</t>
  </si>
  <si>
    <t>United Arab Emirates</t>
  </si>
  <si>
    <t>Bahrain</t>
  </si>
  <si>
    <t>Djibouti</t>
  </si>
  <si>
    <t>Egypt</t>
  </si>
  <si>
    <t>Somalia</t>
  </si>
  <si>
    <t>Tunisia</t>
  </si>
  <si>
    <t>Yemen</t>
  </si>
  <si>
    <t>Oman</t>
  </si>
  <si>
    <t>Pakistan</t>
  </si>
  <si>
    <t>Qatar</t>
  </si>
  <si>
    <t>Saudi Arabia</t>
  </si>
  <si>
    <t>Sudan</t>
  </si>
  <si>
    <t>Iraq</t>
  </si>
  <si>
    <t>Jordan</t>
  </si>
  <si>
    <t>Kuwait</t>
  </si>
  <si>
    <t>Lebanon</t>
  </si>
  <si>
    <t>Libya</t>
  </si>
  <si>
    <t>Morocco</t>
  </si>
  <si>
    <t>Albania</t>
  </si>
  <si>
    <t>Andorra</t>
  </si>
  <si>
    <t>Armenia</t>
  </si>
  <si>
    <t>Austria</t>
  </si>
  <si>
    <t>Azerbaijan</t>
  </si>
  <si>
    <t>Belgium</t>
  </si>
  <si>
    <t>Sweden</t>
  </si>
  <si>
    <t>Tajikistan</t>
  </si>
  <si>
    <t>Turkey</t>
  </si>
  <si>
    <t>Ukraine</t>
  </si>
  <si>
    <t>Uzbekistan</t>
  </si>
  <si>
    <t>San Marino</t>
  </si>
  <si>
    <t>Serbia</t>
  </si>
  <si>
    <t>Slovakia</t>
  </si>
  <si>
    <t>Slovenia</t>
  </si>
  <si>
    <t>Netherlands</t>
  </si>
  <si>
    <t>Norway</t>
  </si>
  <si>
    <t>Poland</t>
  </si>
  <si>
    <t>Portugal</t>
  </si>
  <si>
    <t>Romania</t>
  </si>
  <si>
    <t>Latvia</t>
  </si>
  <si>
    <t>Monaco</t>
  </si>
  <si>
    <t>Malta</t>
  </si>
  <si>
    <t>Montenegro</t>
  </si>
  <si>
    <t>Italy</t>
  </si>
  <si>
    <t>Kazakhstan</t>
  </si>
  <si>
    <t>Kyrgyzstan</t>
  </si>
  <si>
    <t>Liechtenstein</t>
  </si>
  <si>
    <t>Lithuania</t>
  </si>
  <si>
    <t>Luxembourg</t>
  </si>
  <si>
    <t>Greece</t>
  </si>
  <si>
    <t>Croatia</t>
  </si>
  <si>
    <t>Hungary</t>
  </si>
  <si>
    <t>Ireland</t>
  </si>
  <si>
    <t>Iceland</t>
  </si>
  <si>
    <t>Israel</t>
  </si>
  <si>
    <t>Spain</t>
  </si>
  <si>
    <t>Estonia</t>
  </si>
  <si>
    <t>Finland</t>
  </si>
  <si>
    <t>France</t>
  </si>
  <si>
    <t>Georgia</t>
  </si>
  <si>
    <t>Germany</t>
  </si>
  <si>
    <t>Denmark</t>
  </si>
  <si>
    <t>Bulgaria</t>
  </si>
  <si>
    <t>Belarus</t>
  </si>
  <si>
    <t>Switzerland</t>
  </si>
  <si>
    <t>Cyprus</t>
  </si>
  <si>
    <t>Bangladesh</t>
  </si>
  <si>
    <t>Bhutan</t>
  </si>
  <si>
    <t>Indonesia</t>
  </si>
  <si>
    <t>India</t>
  </si>
  <si>
    <t>Sri Lanka</t>
  </si>
  <si>
    <t>Maldives</t>
  </si>
  <si>
    <t>Myanmar</t>
  </si>
  <si>
    <t>Nepal</t>
  </si>
  <si>
    <t>Thailand</t>
  </si>
  <si>
    <t>Australia</t>
  </si>
  <si>
    <t>China</t>
  </si>
  <si>
    <t>Fiji</t>
  </si>
  <si>
    <t>Philippines</t>
  </si>
  <si>
    <t>Papua New Guinea</t>
  </si>
  <si>
    <t>Singapore</t>
  </si>
  <si>
    <t>Mongolia</t>
  </si>
  <si>
    <t>Malaysia</t>
  </si>
  <si>
    <t>New Zealand</t>
  </si>
  <si>
    <t>Japan</t>
  </si>
  <si>
    <t>Cambodia</t>
  </si>
  <si>
    <t>Location</t>
  </si>
  <si>
    <t>Cases</t>
  </si>
  <si>
    <t>Deaths</t>
  </si>
  <si>
    <t>Recov.</t>
  </si>
  <si>
    <t>Worldwide</t>
  </si>
  <si>
    <t>United States</t>
  </si>
  <si>
    <t>Russia</t>
  </si>
  <si>
    <t>United Kingdom</t>
  </si>
  <si>
    <t>No data</t>
  </si>
  <si>
    <t>Iran</t>
  </si>
  <si>
    <t>Bolivia</t>
  </si>
  <si>
    <t>South Korea</t>
  </si>
  <si>
    <t>Moldova</t>
  </si>
  <si>
    <t>Czech Republic</t>
  </si>
  <si>
    <t>DR Congo</t>
  </si>
  <si>
    <t>Ivory Coast</t>
  </si>
  <si>
    <t>North Macedonia</t>
  </si>
  <si>
    <t>Bosnia &amp; Herzegovina</t>
  </si>
  <si>
    <t>Venezuela</t>
  </si>
  <si>
    <t>Kosovo</t>
  </si>
  <si>
    <t>Hong Kong</t>
  </si>
  <si>
    <t>USS Theodore Roosevelt</t>
  </si>
  <si>
    <t>Charles de Gaulle</t>
  </si>
  <si>
    <t>Diamond Princess</t>
  </si>
  <si>
    <t>Donetsk PR</t>
  </si>
  <si>
    <t>Cape Verde</t>
  </si>
  <si>
    <t>São Tomé &amp; Príncipe</t>
  </si>
  <si>
    <t>Tanzania</t>
  </si>
  <si>
    <t>Palestine</t>
  </si>
  <si>
    <t>Taiwan</t>
  </si>
  <si>
    <t>Luhansk PR</t>
  </si>
  <si>
    <t>Somaliland</t>
  </si>
  <si>
    <t>Isle of Man</t>
  </si>
  <si>
    <t>Vietnam</t>
  </si>
  <si>
    <t>Jersey</t>
  </si>
  <si>
    <t>Guernsey</t>
  </si>
  <si>
    <t>Faroe Islands</t>
  </si>
  <si>
    <t>Guam</t>
  </si>
  <si>
    <t>Gibraltar</t>
  </si>
  <si>
    <t>Cayman Islands</t>
  </si>
  <si>
    <t>Costa Atlantica</t>
  </si>
  <si>
    <t>Bermuda</t>
  </si>
  <si>
    <t>Brunei</t>
  </si>
  <si>
    <t>Greg Mortimer</t>
  </si>
  <si>
    <t>Syria</t>
  </si>
  <si>
    <t>Trinidad &amp; Tobago</t>
  </si>
  <si>
    <t>Northern Cyprus</t>
  </si>
  <si>
    <t>Aruba</t>
  </si>
  <si>
    <t>Sint Maarten</t>
  </si>
  <si>
    <t>U.S. Virgin Islands</t>
  </si>
  <si>
    <t>French Polynesia</t>
  </si>
  <si>
    <t>Artsakh</t>
  </si>
  <si>
    <t>South Ossetia</t>
  </si>
  <si>
    <t>Macau</t>
  </si>
  <si>
    <t>Abkhazia</t>
  </si>
  <si>
    <t>Antigua &amp; Barbuda</t>
  </si>
  <si>
    <t>Northern Mariana Islands</t>
  </si>
  <si>
    <t>The Gambia</t>
  </si>
  <si>
    <t>Saint Vincent</t>
  </si>
  <si>
    <t>East Timor</t>
  </si>
  <si>
    <t>Curaçao</t>
  </si>
  <si>
    <t>New Caledonia</t>
  </si>
  <si>
    <t>Laos</t>
  </si>
  <si>
    <t>Saint Kitts &amp; Nevis</t>
  </si>
  <si>
    <t>Falkland Islands</t>
  </si>
  <si>
    <t>Greenland</t>
  </si>
  <si>
    <t>MS Zaandam</t>
  </si>
  <si>
    <t>Coral Princess</t>
  </si>
  <si>
    <t>Turks &amp; Caicos Islands</t>
  </si>
  <si>
    <t>Vatican City</t>
  </si>
  <si>
    <t>Montserrat</t>
  </si>
  <si>
    <t>British Virgin Islands</t>
  </si>
  <si>
    <t>HNLMS Dolfijn</t>
  </si>
  <si>
    <t>Anguilla</t>
  </si>
  <si>
    <t>Saba</t>
  </si>
  <si>
    <t>Bonaire</t>
  </si>
  <si>
    <t>Sint Eustatius</t>
  </si>
  <si>
    <t>Saint Pierre &amp; Miquelon</t>
  </si>
  <si>
    <t>Row Labels</t>
  </si>
  <si>
    <t>Recovered</t>
  </si>
  <si>
    <t xml:space="preserve"> Deaths</t>
  </si>
  <si>
    <t xml:space="preserve"> Cases</t>
  </si>
  <si>
    <t>Date:</t>
  </si>
  <si>
    <t>Disclaimer:</t>
  </si>
  <si>
    <t>Data shown is total number up untill today.</t>
  </si>
  <si>
    <t>How to use it ?</t>
  </si>
  <si>
    <t>Click the button below. It will update source and pivot table.</t>
  </si>
  <si>
    <t>Disclaimer 2:</t>
  </si>
  <si>
    <t>Data is taken from Wikipedia. For more information: https://en.wikipedia.org/wiki/Template:COVID-19_pandemic_data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</si>
</sst>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F800]dddd\,\ mmmm\ dd\,\ yyyy"/>
  </numFmts>
  <fonts count="2" x14ac:knownFonts="1">
    <font>
      <sz val="11"/>
      <color theme="1"/>
      <name val="Calibri"/>
      <family val="2"/>
      <scheme val="minor"/>
    </font>
    <font>
      <sz val="11"/>
      <color theme="1"/>
      <name val="Calibri"/>
      <family val="2"/>
      <scheme val="minor"/>
    </font>
  </fonts>
  <fills count="5">
    <fill>
      <patternFill patternType="none"/>
    </fill>
    <fill>
      <patternFill patternType="gray125"/>
    </fill>
    <fill>
      <patternFill patternType="solid">
        <fgColor rgb="FFFF0000"/>
        <bgColor indexed="64"/>
      </patternFill>
    </fill>
    <fill>
      <patternFill patternType="solid">
        <fgColor theme="2"/>
        <bgColor indexed="64"/>
      </patternFill>
    </fill>
    <fill>
      <patternFill patternType="solid">
        <fgColor theme="9"/>
        <bgColor indexed="64"/>
      </patternFill>
    </fill>
  </fills>
  <borders count="5">
    <border>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theme="9" tint="0.39997558519241921"/>
      </top>
      <bottom style="thin">
        <color theme="9" tint="0.39997558519241921"/>
      </bottom>
      <diagonal/>
    </border>
    <border>
      <left/>
      <right/>
      <top style="thin">
        <color theme="4" tint="0.39997558519241921"/>
      </top>
      <bottom style="thin">
        <color theme="4" tint="0.39997558519241921"/>
      </bottom>
      <diagonal/>
    </border>
  </borders>
  <cellStyleXfs count="2">
    <xf numFmtId="0" fontId="0" fillId="0" borderId="0"/>
    <xf numFmtId="43" fontId="1" fillId="0" borderId="0" applyFont="0" applyFill="0" applyBorder="0" applyAlignment="0" applyProtection="0"/>
  </cellStyleXfs>
  <cellXfs count="18">
    <xf numFmtId="0" fontId="0" fillId="0" borderId="0" xfId="0"/>
    <xf numFmtId="0" fontId="0" fillId="0" borderId="0" xfId="0" applyNumberFormat="1"/>
    <xf numFmtId="0" fontId="0" fillId="0" borderId="0" xfId="0" applyAlignment="1">
      <alignment horizontal="center"/>
    </xf>
    <xf numFmtId="164" fontId="0" fillId="0" borderId="0" xfId="1" applyNumberFormat="1" applyFont="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14" fontId="0" fillId="0" borderId="1" xfId="0" applyNumberFormat="1" applyBorder="1"/>
    <xf numFmtId="22" fontId="0" fillId="0" borderId="0" xfId="0" applyNumberFormat="1"/>
    <xf numFmtId="165" fontId="0" fillId="0" borderId="2" xfId="1" applyNumberFormat="1" applyFont="1" applyBorder="1"/>
    <xf numFmtId="0" fontId="0" fillId="2" borderId="0" xfId="0" applyFill="1"/>
    <xf numFmtId="0" fontId="0" fillId="4" borderId="0" xfId="0" applyFill="1"/>
    <xf numFmtId="164" fontId="0" fillId="0" borderId="0" xfId="0" applyNumberFormat="1" applyAlignment="1">
      <alignment horizontal="center"/>
    </xf>
    <xf numFmtId="0" fontId="0" fillId="0" borderId="3" xfId="0" applyFont="1" applyBorder="1"/>
    <xf numFmtId="0" fontId="0" fillId="0" borderId="0" xfId="0" applyNumberFormat="1" applyAlignment="1">
      <alignment horizontal="center"/>
    </xf>
    <xf numFmtId="0" fontId="0" fillId="0" borderId="4" xfId="0" applyFont="1" applyBorder="1"/>
    <xf numFmtId="0" fontId="0" fillId="3" borderId="0" xfId="0" applyFill="1" applyAlignment="1">
      <alignment horizontal="left"/>
    </xf>
  </cellXfs>
  <cellStyles count="2">
    <cellStyle name="Comma" xfId="1" builtinId="3"/>
    <cellStyle name="Normal" xfId="0" builtinId="0"/>
  </cellStyles>
  <dxfs count="9">
    <dxf>
      <numFmt numFmtId="0" formatCode="General"/>
    </dxf>
    <dxf>
      <numFmt numFmtId="0" formatCode="General"/>
    </dxf>
    <dxf>
      <numFmt numFmtId="0" formatCode="General"/>
      <alignment horizontal="center" vertical="bottom" textRotation="0" wrapText="0" indent="0" justifyLastLine="0" shrinkToFit="0" readingOrder="0"/>
    </dxf>
    <dxf>
      <numFmt numFmtId="164" formatCode="_(* #,##0_);_(* \(#,##0\);_(* &quot;-&quot;??_);_(@_)"/>
      <alignment horizontal="center" vertical="bottom" textRotation="0" wrapText="0" indent="0" justifyLastLine="0" shrinkToFit="0" readingOrder="0"/>
    </dxf>
    <dxf>
      <numFmt numFmtId="164" formatCode="_(* #,##0_);_(* \(#,##0\);_(* &quot;-&quot;??_);_(@_)"/>
      <alignment horizontal="center" vertical="bottom" textRotation="0" wrapText="0" indent="0" justifyLastLine="0" shrinkToFit="0" readingOrder="0"/>
    </dxf>
    <dxf>
      <border outline="0">
        <top style="thin">
          <color theme="9" tint="0.39997558519241921"/>
        </top>
      </border>
    </dxf>
    <dxf>
      <border outline="0">
        <bottom style="thin">
          <color theme="9" tint="0.39997558519241921"/>
        </bottom>
      </border>
    </dxf>
    <dxf>
      <numFmt numFmtId="164" formatCode="_(* #,##0_);_(* \(#,##0\);_(* &quot;-&quot;??_);_(@_)"/>
    </dxf>
    <dxf>
      <numFmt numFmtId="164"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[Project-1.xlsm]Summary!PVT_Covid</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COUNTRIES</a:t>
            </a:r>
          </a:p>
        </c:rich>
      </c:tx>
      <c:layout>
        <c:manualLayout>
          <c:xMode val="edge"/>
          <c:yMode val="edge"/>
          <c:x val="0.40951188089841517"/>
          <c:y val="6.45744129234354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Summary!$B$3</c:f>
              <c:strCache>
                <c:ptCount val="1"/>
                <c:pt idx="0">
                  <c:v> Cases</c:v>
                </c:pt>
              </c:strCache>
            </c:strRef>
          </c:tx>
          <c:spPr>
            <a:solidFill>
              <a:schemeClr val="accent1"/>
            </a:solidFill>
            <a:ln>
              <a:noFill/>
            </a:ln>
            <a:effectLst/>
          </c:spPr>
          <c:invertIfNegative val="0"/>
          <c:cat>
            <c:strRef>
              <c:f>Summary!$A$4:$A$13</c:f>
              <c:strCache>
                <c:ptCount val="10"/>
                <c:pt idx="0">
                  <c:v>Worldwide</c:v>
                </c:pt>
                <c:pt idx="1">
                  <c:v>United States</c:v>
                </c:pt>
                <c:pt idx="2">
                  <c:v>Brazil</c:v>
                </c:pt>
                <c:pt idx="3">
                  <c:v>Russia</c:v>
                </c:pt>
                <c:pt idx="4">
                  <c:v>United Kingdom</c:v>
                </c:pt>
                <c:pt idx="5">
                  <c:v>India</c:v>
                </c:pt>
                <c:pt idx="6">
                  <c:v>Spain</c:v>
                </c:pt>
                <c:pt idx="7">
                  <c:v>Italy</c:v>
                </c:pt>
                <c:pt idx="8">
                  <c:v>Peru</c:v>
                </c:pt>
                <c:pt idx="9">
                  <c:v>Germany</c:v>
                </c:pt>
              </c:strCache>
            </c:strRef>
          </c:cat>
          <c:val>
            <c:numRef>
              <c:f>Summary!$B$4:$B$13</c:f>
              <c:numCache>
                <c:formatCode>_(* #,##0_);_(* \(#,##0\);_(* "-"??_);_(@_)</c:formatCode>
                <c:ptCount val="10"/>
                <c:pt idx="0">
                  <c:v>7238768</c:v>
                </c:pt>
                <c:pt idx="1">
                  <c:v>2024570</c:v>
                </c:pt>
                <c:pt idx="2">
                  <c:v>747561</c:v>
                </c:pt>
                <c:pt idx="3">
                  <c:v>493657</c:v>
                </c:pt>
                <c:pt idx="4">
                  <c:v>290143</c:v>
                </c:pt>
                <c:pt idx="5">
                  <c:v>276583</c:v>
                </c:pt>
                <c:pt idx="6">
                  <c:v>241966</c:v>
                </c:pt>
                <c:pt idx="7">
                  <c:v>235561</c:v>
                </c:pt>
                <c:pt idx="8">
                  <c:v>203736</c:v>
                </c:pt>
                <c:pt idx="9">
                  <c:v>186525</c:v>
                </c:pt>
              </c:numCache>
            </c:numRef>
          </c:val>
          <c:extLst>
            <c:ext xmlns:c16="http://schemas.microsoft.com/office/drawing/2014/chart" uri="{C3380CC4-5D6E-409C-BE32-E72D297353CC}">
              <c16:uniqueId val="{00000000-C9F8-4A79-B2DF-FBCB2A8FC61A}"/>
            </c:ext>
          </c:extLst>
        </c:ser>
        <c:ser>
          <c:idx val="1"/>
          <c:order val="1"/>
          <c:tx>
            <c:strRef>
              <c:f>Summary!$C$3</c:f>
              <c:strCache>
                <c:ptCount val="1"/>
                <c:pt idx="0">
                  <c:v> Deaths</c:v>
                </c:pt>
              </c:strCache>
            </c:strRef>
          </c:tx>
          <c:spPr>
            <a:solidFill>
              <a:schemeClr val="accent2"/>
            </a:solidFill>
            <a:ln>
              <a:noFill/>
            </a:ln>
            <a:effectLst/>
          </c:spPr>
          <c:invertIfNegative val="0"/>
          <c:cat>
            <c:strRef>
              <c:f>Summary!$A$4:$A$13</c:f>
              <c:strCache>
                <c:ptCount val="10"/>
                <c:pt idx="0">
                  <c:v>Worldwide</c:v>
                </c:pt>
                <c:pt idx="1">
                  <c:v>United States</c:v>
                </c:pt>
                <c:pt idx="2">
                  <c:v>Brazil</c:v>
                </c:pt>
                <c:pt idx="3">
                  <c:v>Russia</c:v>
                </c:pt>
                <c:pt idx="4">
                  <c:v>United Kingdom</c:v>
                </c:pt>
                <c:pt idx="5">
                  <c:v>India</c:v>
                </c:pt>
                <c:pt idx="6">
                  <c:v>Spain</c:v>
                </c:pt>
                <c:pt idx="7">
                  <c:v>Italy</c:v>
                </c:pt>
                <c:pt idx="8">
                  <c:v>Peru</c:v>
                </c:pt>
                <c:pt idx="9">
                  <c:v>Germany</c:v>
                </c:pt>
              </c:strCache>
            </c:strRef>
          </c:cat>
          <c:val>
            <c:numRef>
              <c:f>Summary!$C$4:$C$13</c:f>
              <c:numCache>
                <c:formatCode>_(* #,##0_);_(* \(#,##0\);_(* "-"??_);_(@_)</c:formatCode>
                <c:ptCount val="10"/>
                <c:pt idx="0">
                  <c:v>411279</c:v>
                </c:pt>
                <c:pt idx="1">
                  <c:v>113848</c:v>
                </c:pt>
                <c:pt idx="2">
                  <c:v>38701</c:v>
                </c:pt>
                <c:pt idx="3">
                  <c:v>6358</c:v>
                </c:pt>
                <c:pt idx="4">
                  <c:v>41128</c:v>
                </c:pt>
                <c:pt idx="5">
                  <c:v>7745</c:v>
                </c:pt>
                <c:pt idx="6">
                  <c:v>27136</c:v>
                </c:pt>
                <c:pt idx="7">
                  <c:v>34043</c:v>
                </c:pt>
                <c:pt idx="8">
                  <c:v>5738</c:v>
                </c:pt>
                <c:pt idx="9">
                  <c:v>8831</c:v>
                </c:pt>
              </c:numCache>
            </c:numRef>
          </c:val>
          <c:extLst>
            <c:ext xmlns:c16="http://schemas.microsoft.com/office/drawing/2014/chart" uri="{C3380CC4-5D6E-409C-BE32-E72D297353CC}">
              <c16:uniqueId val="{00000001-C9F8-4A79-B2DF-FBCB2A8FC61A}"/>
            </c:ext>
          </c:extLst>
        </c:ser>
        <c:ser>
          <c:idx val="2"/>
          <c:order val="2"/>
          <c:tx>
            <c:strRef>
              <c:f>Summary!$D$3</c:f>
              <c:strCache>
                <c:ptCount val="1"/>
                <c:pt idx="0">
                  <c:v>Recovered</c:v>
                </c:pt>
              </c:strCache>
            </c:strRef>
          </c:tx>
          <c:spPr>
            <a:solidFill>
              <a:schemeClr val="accent3"/>
            </a:solidFill>
            <a:ln>
              <a:noFill/>
            </a:ln>
            <a:effectLst/>
          </c:spPr>
          <c:invertIfNegative val="0"/>
          <c:cat>
            <c:strRef>
              <c:f>Summary!$A$4:$A$13</c:f>
              <c:strCache>
                <c:ptCount val="10"/>
                <c:pt idx="0">
                  <c:v>Worldwide</c:v>
                </c:pt>
                <c:pt idx="1">
                  <c:v>United States</c:v>
                </c:pt>
                <c:pt idx="2">
                  <c:v>Brazil</c:v>
                </c:pt>
                <c:pt idx="3">
                  <c:v>Russia</c:v>
                </c:pt>
                <c:pt idx="4">
                  <c:v>United Kingdom</c:v>
                </c:pt>
                <c:pt idx="5">
                  <c:v>India</c:v>
                </c:pt>
                <c:pt idx="6">
                  <c:v>Spain</c:v>
                </c:pt>
                <c:pt idx="7">
                  <c:v>Italy</c:v>
                </c:pt>
                <c:pt idx="8">
                  <c:v>Peru</c:v>
                </c:pt>
                <c:pt idx="9">
                  <c:v>Germany</c:v>
                </c:pt>
              </c:strCache>
            </c:strRef>
          </c:cat>
          <c:val>
            <c:numRef>
              <c:f>Summary!$D$4:$D$13</c:f>
              <c:numCache>
                <c:formatCode>_(* #,##0_);_(* \(#,##0\);_(* "-"??_);_(@_)</c:formatCode>
                <c:ptCount val="10"/>
                <c:pt idx="0">
                  <c:v>3373832</c:v>
                </c:pt>
                <c:pt idx="1">
                  <c:v>602215</c:v>
                </c:pt>
                <c:pt idx="2">
                  <c:v>325602</c:v>
                </c:pt>
                <c:pt idx="3">
                  <c:v>252783</c:v>
                </c:pt>
                <c:pt idx="4">
                  <c:v>0</c:v>
                </c:pt>
                <c:pt idx="5">
                  <c:v>135206</c:v>
                </c:pt>
                <c:pt idx="6">
                  <c:v>150376</c:v>
                </c:pt>
                <c:pt idx="7">
                  <c:v>168646</c:v>
                </c:pt>
                <c:pt idx="8">
                  <c:v>92929</c:v>
                </c:pt>
                <c:pt idx="9">
                  <c:v>170671</c:v>
                </c:pt>
              </c:numCache>
            </c:numRef>
          </c:val>
          <c:extLst>
            <c:ext xmlns:c16="http://schemas.microsoft.com/office/drawing/2014/chart" uri="{C3380CC4-5D6E-409C-BE32-E72D297353CC}">
              <c16:uniqueId val="{00000002-C9F8-4A79-B2DF-FBCB2A8FC61A}"/>
            </c:ext>
          </c:extLst>
        </c:ser>
        <c:dLbls>
          <c:showLegendKey val="0"/>
          <c:showVal val="0"/>
          <c:showCatName val="0"/>
          <c:showSerName val="0"/>
          <c:showPercent val="0"/>
          <c:showBubbleSize val="0"/>
        </c:dLbls>
        <c:gapWidth val="219"/>
        <c:overlap val="-27"/>
        <c:axId val="1075785872"/>
        <c:axId val="1075781712"/>
      </c:barChart>
      <c:catAx>
        <c:axId val="107578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781712"/>
        <c:crosses val="autoZero"/>
        <c:auto val="1"/>
        <c:lblAlgn val="ctr"/>
        <c:lblOffset val="100"/>
        <c:noMultiLvlLbl val="0"/>
      </c:catAx>
      <c:valAx>
        <c:axId val="107578171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785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304800</xdr:colOff>
      <xdr:row>1</xdr:row>
      <xdr:rowOff>57150</xdr:rowOff>
    </xdr:from>
    <xdr:to>
      <xdr:col>24</xdr:col>
      <xdr:colOff>171450</xdr:colOff>
      <xdr:row>25</xdr:row>
      <xdr:rowOff>161925</xdr:rowOff>
    </xdr:to>
    <xdr:graphicFrame macro="">
      <xdr:nvGraphicFramePr>
        <xdr:cNvPr id="5" name="Chart 4">
          <a:extLst>
            <a:ext uri="{FF2B5EF4-FFF2-40B4-BE49-F238E27FC236}">
              <a16:creationId xmlns:a16="http://schemas.microsoft.com/office/drawing/2014/main" id="{42BD47D3-98CA-4592-B39C-719A6669C8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247650</xdr:colOff>
      <xdr:row>34</xdr:row>
      <xdr:rowOff>9525</xdr:rowOff>
    </xdr:from>
    <xdr:to>
      <xdr:col>8</xdr:col>
      <xdr:colOff>552450</xdr:colOff>
      <xdr:row>38</xdr:row>
      <xdr:rowOff>161925</xdr:rowOff>
    </xdr:to>
    <xdr:pic macro="[0]!Main">
      <xdr:nvPicPr>
        <xdr:cNvPr id="8" name="Graphic 7" descr="Head with gears">
          <a:extLst>
            <a:ext uri="{FF2B5EF4-FFF2-40B4-BE49-F238E27FC236}">
              <a16:creationId xmlns:a16="http://schemas.microsoft.com/office/drawing/2014/main" id="{D7C4557A-6627-45E8-B30C-D1CAAB76CB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210300" y="649605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üzenli,Fatih" refreshedDate="43992.818240624998" createdVersion="6" refreshedVersion="6" minRefreshableVersion="3" recordCount="229" xr:uid="{1B07519D-5289-44F5-B662-753FFF0A7110}">
  <cacheSource type="worksheet">
    <worksheetSource name="TB_CovCases"/>
  </cacheSource>
  <cacheFields count="4">
    <cacheField name="Location" numFmtId="0">
      <sharedItems containsBlank="1" count="234" longText="1">
        <s v="Worldwide"/>
        <s v="United States"/>
        <s v="Brazil"/>
        <s v="Russia"/>
        <s v="United Kingdom"/>
        <s v="India"/>
        <s v="Spain"/>
        <s v="Italy"/>
        <s v="Peru"/>
        <s v="Germany"/>
        <s v="Iran"/>
        <s v="Turkey"/>
        <s v="France"/>
        <s v="Chile"/>
        <s v="Mexico"/>
        <s v="Pakistan"/>
        <s v="Saudi Arabia"/>
        <s v="Canada"/>
        <s v="China"/>
        <s v="Bangladesh"/>
        <s v="Qatar"/>
        <s v="Belgium"/>
        <s v="South Africa"/>
        <s v="Belarus"/>
        <s v="Netherlands"/>
        <s v="Sweden"/>
        <s v="Ecuador"/>
        <s v="Colombia"/>
        <s v="United Arab Emirates"/>
        <s v="Singapore"/>
        <s v="Egypt"/>
        <s v="Portugal"/>
        <s v="Indonesia"/>
        <s v="Kuwait"/>
        <s v="Switzerland"/>
        <s v="Ukraine"/>
        <s v="Poland"/>
        <s v="Ireland"/>
        <s v="Argentina"/>
        <s v="Philippines"/>
        <s v="Afghanistan"/>
        <s v="Romania"/>
        <s v="Dominican Republic"/>
        <s v="Oman"/>
        <s v="Israel"/>
        <s v="Japan"/>
        <s v="Austria"/>
        <s v="Panama"/>
        <s v="Bahrain"/>
        <s v="Iraq"/>
        <s v="Bolivia"/>
        <s v="Armenia"/>
        <s v="Nigeria"/>
        <s v="Kazakhstan"/>
        <s v="Denmark"/>
        <s v="Serbia"/>
        <s v="South Korea"/>
        <s v="Algeria"/>
        <s v="Moldova"/>
        <s v="Ghana"/>
        <s v="Czech Republic"/>
        <s v="Cameroon"/>
        <s v="Norway"/>
        <s v="Azerbaijan"/>
        <s v="Morocco"/>
        <s v="Malaysia"/>
        <s v="Guatemala"/>
        <s v="Australia"/>
        <s v="Finland"/>
        <s v="Honduras"/>
        <s v="Sudan"/>
        <s v="Puerto Rico"/>
        <s v="Tajikistan"/>
        <s v="Uzbekistan"/>
        <s v="Senegal"/>
        <s v="DR Congo"/>
        <s v="Djibouti"/>
        <s v="Guinea"/>
        <s v="Nepal"/>
        <s v="Luxembourg"/>
        <s v="Hungary"/>
        <s v="Ivory Coast"/>
        <s v="Haiti"/>
        <s v="North Macedonia"/>
        <s v="Gabon"/>
        <s v="El Salvador"/>
        <s v="Thailand"/>
        <s v="Greece"/>
        <s v="Kenya"/>
        <s v="Bulgaria"/>
        <s v="Bosnia &amp; Herzegovina"/>
        <s v="Venezuela"/>
        <s v="Ethiopia"/>
        <s v="Somalia"/>
        <s v="Croatia"/>
        <s v="Cuba"/>
        <s v="Kyrgyzstan"/>
        <s v="Estonia"/>
        <s v="Maldives"/>
        <s v="Sri Lanka"/>
        <s v="Central African Republic"/>
        <s v="Iceland"/>
        <s v="Lithuania"/>
        <s v="South Sudan"/>
        <s v="Mali"/>
        <s v="Slovakia"/>
        <s v="Slovenia"/>
        <s v="Nicaragua"/>
        <s v="Guinea-Bissau"/>
        <s v="Costa Rica"/>
        <s v="Lebanon"/>
        <s v="Albania"/>
        <s v="Equatorial Guinea"/>
        <s v="Kosovo"/>
        <s v="Zambia"/>
        <s v="Paraguay"/>
        <s v="Mauritania"/>
        <s v="New Zealand"/>
        <s v="Madagascar"/>
        <s v="Hong Kong"/>
        <s v="USS Theodore Roosevelt"/>
        <s v="Latvia"/>
        <s v="Tunisia"/>
        <s v="Charles de Gaulle"/>
        <s v="Sierra Leone"/>
        <s v="Niger"/>
        <s v="Cyprus"/>
        <s v="Burkina Faso"/>
        <s v="Andorra"/>
        <s v="Uruguay"/>
        <s v="Jordan"/>
        <s v="Chad"/>
        <s v="Georgia"/>
        <s v="Congo"/>
        <s v="Donetsk PR"/>
        <s v="Diamond Princess"/>
        <s v="San Marino"/>
        <s v="Uganda"/>
        <s v="Malta"/>
        <s v="Jamaica"/>
        <s v="Cape Verde"/>
        <s v="Yemen"/>
        <s v="São Tomé &amp; Príncipe"/>
        <s v="Tanzania"/>
        <s v="Togo"/>
        <s v="Palestine"/>
        <s v="Rwanda"/>
        <s v="Malawi"/>
        <s v="Mozambique"/>
        <s v="Taiwan"/>
        <s v="Somaliland"/>
        <s v="Luhansk PR"/>
        <s v="Liberia"/>
        <s v="Eswatini"/>
        <s v="Libya"/>
        <s v="Mauritius"/>
        <s v="Isle of Man"/>
        <s v="Vietnam"/>
        <s v="Montenegro"/>
        <s v="Zimbabwe"/>
        <s v="Jersey"/>
        <s v="Benin"/>
        <s v="Guernsey"/>
        <s v="Myanmar"/>
        <s v="Mongolia"/>
        <s v="Faroe Islands"/>
        <s v="Guam"/>
        <s v="Gibraltar"/>
        <s v="Cayman Islands"/>
        <s v="Guyana"/>
        <s v="Costa Atlantica"/>
        <s v="Syria"/>
        <s v="Bermuda"/>
        <s v="Brunei"/>
        <s v="Comoros"/>
        <s v="Suriname"/>
        <s v="Greg Mortimer"/>
        <s v="Cambodia"/>
        <s v="Trinidad &amp; Tobago"/>
        <s v="Northern Cyprus"/>
        <s v="Bahamas"/>
        <s v="Aruba"/>
        <s v="Monaco"/>
        <s v="Angola"/>
        <s v="Barbados"/>
        <s v="Burundi"/>
        <s v="Liechtenstein"/>
        <s v="Sint Maarten"/>
        <s v="U.S. Virgin Islands"/>
        <s v="French Polynesia"/>
        <s v="Bhutan"/>
        <s v="Artsakh"/>
        <s v="South Ossetia"/>
        <s v="Macau"/>
        <s v="Botswana"/>
        <s v="Eritrea"/>
        <s v="Abkhazia"/>
        <s v="Namibia"/>
        <s v="Northern Mariana Islands"/>
        <s v="The Gambia"/>
        <s v="Saint Vincent"/>
        <s v="Antigua &amp; Barbuda"/>
        <s v="East Timor"/>
        <s v="Grenada"/>
        <s v="Curaçao"/>
        <s v="New Caledonia"/>
        <s v="Belize"/>
        <s v="Laos"/>
        <s v="Saint Lucia"/>
        <s v="Fiji"/>
        <s v="Dominica"/>
        <s v="Saint Kitts &amp; Nevis"/>
        <s v="Falkland Islands"/>
        <s v="Greenland"/>
        <s v="MS Zaandam"/>
        <s v="Coral Princess"/>
        <s v="Turks &amp; Caicos Islands"/>
        <s v="Vatican City"/>
        <s v="Montserrat"/>
        <s v="Seychelles"/>
        <s v="British Virgin Islands"/>
        <s v="HNLMS Dolfijn"/>
        <s v="Papua New Guinea"/>
        <s v="Lesotho"/>
        <s v="Anguilla"/>
        <s v="Saba"/>
        <s v="Bonaire"/>
        <s v="Sint Eustatius"/>
        <s v="Saint Pierre &amp; Miquelon"/>
        <m u="1"/>
        <s v="As of 7 June 2020 (UTC) · History of cases: China, international" u="1"/>
        <s v="As of 8 June 2020 (UTC) · History of cases: China, international" u="1"/>
        <s v="Notes^ Locations: Countries, territories, and international conveyances where cases were diagnosed. The nationality of the infected and the origin of infection may vary. For some countries, cases are split into respective territories and noted accordingly. ^ Cases: This number shows the cumulative number of confirmed human cases reported to date. The actual number of infections and cases is likely to be higher than reported.[1] Reporting criteria and testing capacity vary between countries._x000d__x000a_The total number of cases may not necessarily add up due to the frequency of values being updated for each location. ^ Deaths: Reporting criteria vary between countries._x000d__x000a_The total number of deaths may not necessarily add up due to the frequency of values being updated for each location. ^ Recoveries: May not correspond to actual current figures and not all recoveries may be reported. Reporting criteria vary between countries._x000d__x000a_The total number of recoveries may not necessarily add up due to the frequency of values being updated for each location._x000d__x000a_^ United States_x000d__x000a_Figures include cases identified on the Grand Princess.Figures do not include the unincorporated territories of Puerto Rico, Guam, Northern Mariana Islands, and U.S. Virgin Islands, all of which are listed separately.Not all states or overseas territories report recovery data.Cases include clinically diagnosed cases as per CDC guidelines.[3]Recoveries and deaths include probable deaths and people released from quarantine as per CDC guidelines.[4][5][6]Figures from the United States Department of Defense are only released on a branch-by branch basis since April 2020, without distinction between domestic and foreign deployment, and cases may be reported to local health authorities.[7]Cases for the USS Theodore Roosevelt, currently docked at Guam, are reported separate from national figures but included in the Navy's totals.There is also one case reported from Guantanamo Bay Naval Base not included in any other nation or territory's counts.[8] Since April 2020, the United States Department of Defense has directed all bases, including Guantanamo Bay, to not publicize case statistics.[7]_x000d__x000a_^ Brazil_x000d__x000a_Since 6 June, Brazilian government has ordered the Ministry of Health to stop reporting the total number of deaths and active cases.[10][11]_x000d__x000a_^ Russia_x000d__x000a_Including cases from the disputed Crimea and Sevastopol.Excluding the cases from Diamond Princess cruise ship which are classified as &quot;on an international conveyance&quot;._x000d__x000a_^ United Kingdom_x000d__x000a_Excluding all British Overseas Territories and Crown dependencies.As of 23 March 2020, the UK government does not publish the number of recoveries. The last update on 22 March reported 135 recovered patients.[14]_x000d__x000a_^ Spain_x000d__x000a_Excludes serology–confirmed cases._x000d__x000a_^ Germany_x000d__x000a_Not all state authorities count recoveries.[23]Recoveries include estimations by the Robert Koch Institute.[23][24]_x000d__x000a_^ France_x000d__x000a_Including overseas regions of French Guiana, Guadeloupe, Martinique, Mayotte and Réunion, and collectivities of Saint Barthélemy and Saint Martin.Excluding collectivities of New Caledonia, French Polynesia and Saint Pierre and Miquelon.Recoveries only include hospitalized cases.[27]Figures for total confirmed cases and total deaths include data from both hospital and nursing home (ESMS: établissements sociaux et médico-sociaux).[27]_x000d__x000a_^ Chile _x000d__x000a_Including the special territory of Easter Island.On 2 June 2020, the Chilean government decided to not publish the number of recovered patients._x000d__x000a_^ China_x000d__x000a_Excluding 236 asymptomatic cases under medical observation as of 6 June 2020[update].Asymptomatic cases were not reported before 31 March 2020.Excluding Special Administrative Regions of Hong Kong and Macau.Does not include Taiwan._x000d__x000a_^ Belgium_x000d__x000a_The number of deaths also includes untested cases and cases in retirement homes that presumably died because of COVID-19, whilst most countries only include deaths of tested cases in hospitals.[37]_x000d__x000a_^ Netherlands_x000d__x000a_The Kingdom of the Netherlands consists of a) the Netherlands* [the country as opposed to the kingdom; listed here], which in turn includes the Caribbean Netherlands, that are made up of the special municipalities Bonaire*, Saba* and Sint Eustatius*; b) Aruba*; c) Curaçao*; and d) Sint Maarten*. All regions marked with an asterisk are listed separately.The Dutch Government agency RIVM, responsible for the constituent country the Netherlands, does not count its number of recoveries.[40]_x000d__x000a_^ Egypt_x000d__x000a_Includes cases identified on the MS River Anuket._x000d__x000a_^ Ukraine_x000d__x000a_Excluding cases from the disputed Crimea and Sevastopol. Cases in these territories are included in the Russian total.Excluding cases from the unrecognized Donetsk and Lugansk People's Republics._x000d__x000a_^ Argentina_x000d__x000a_Excluding confirmed cases on the claimed territory of the Falkland Islands. Since 11 April, the Argentine Ministry of Health includes them in their official reports.[61]_x000d__x000a_^ Israel_x000d__x000a_Including cases from the disputed Golan Heights.Excluding cases from the Palestinian National Authority._x000d__x000a_^ a b Diamond Princess and Japan_x000d__x000a_The British cruise ship Diamond Princess was in Japanese waters, and the Japanese administration was asked to manage its quarantine, with the passengers having not entered Japan. Therefore, this case is included in neither the Japanese nor British official counts. The World Health Organization classifies the cases as being located &quot;on an international conveyance&quot;._x000d__x000a_^ Denmark_x000d__x000a_The autonomous territories of the Faroe Islands and Greenland are listed separately._x000d__x000a_^ Serbia_x000d__x000a_Excluding cases from the disputed territory of Kosovo._x000d__x000a_^ Moldova_x000d__x000a_Including the disputed territory of Transnistria._x000d__x000a_^ Norway_x000d__x000a_Estimation of the number of infected:_x000d__x000a_As of 23 March 2020, according to figures from just over 40 per cent of all GPs in Norway, 20,200 patients have been registered with the &quot;corona code&quot; R991. The figure includes both cases where the patient has been diagnosed with coronavirus infection through testing, and where the GP has used the &quot;corona code&quot; after assessing the patient's symptoms against the criteria by the Norwegian Institute of Public Health.[88] As of 24 March 2020, the Norwegian Institute of Public Health estimates that between 7,120 and 23,140 Norwegians are infected with the coronavirus.[89] _x000d__x000a_^ Morocco_x000d__x000a_Including cases in the disputed Western Sahara territory controlled by Morocco. There are no confirmed cases in the rest of Western Sahara.[92]_x000d__x000a_^ Australia_x000d__x000a_Excluding the cases from Diamond Princess cruise ship which are classified as &quot;on an international conveyance&quot;. Ten cases, including one fatality recorded by the Australian government._x000d__x000a_^ Azerbaijan_x000d__x000a_Excluding the self-declared state of Artsakh._x000d__x000a_^ Finland_x000d__x000a_Including the autonomous region of the Åland Islands.The number of recoveries is an estimate based on reported cases which were reported at least two weeks ago and there is no other monitoring data on the course of the disease.[98] The exact number of recoveries is not known, as only a small proportion of patients have been hospitalized.[99]_x000d__x000a_^ DR Congo_x000d__x000a_The Democratic Republic of the Congo._x000d__x000a_^ Somalia_x000d__x000a_Excluding the de facto state of Somaliland._x000d__x000a_^ Cuba_x000d__x000a_Includes cases on the MS Braemar.Excluding cases from Guantanamo Bay, which is governed by the United States._x000d__x000a_^ a b Guam and USS Theodore Roosevelt _x000d__x000a_Cases for the USS Theodore Roosevelt, currently docked at Guam, are reported separately._x000d__x000a_^ Charles de Gaulle_x000d__x000a_Including cases on the escort frigate Chevalier Paul.Florence Parly, Minister of the Armed Forces, reported to the National Assembly's National Defense and Armed Forces Committee [fr] that 2010 sailors of the carrier battle group led by Charles de Gaulle had been tested, with 1081 tests returning positive so far.[156] Many of these cases were aboard Charles de Gaulle, some of the cases were reportedly aboard French frigate Chevalier Paul, and it is unclear if any other ships in the battle group had cases on board.[157][158][159]_x000d__x000a_^ Cyprus_x000d__x000a_Including the British Overseas Territory of Akrotiri and Dhekelia.Excluding de facto state of Northern Cyprus._x000d__x000a_^ a b Greg Mortimer and Uruguay_x000d__x000a_Although currently anchored off the coast of Uruguay, cases for the Greg Mortimer are currently reported separately. Six have been transferred inland for hospitalization._x000d__x000a_^ Georgia_x000d__x000a_Excluding the de facto states of Abkhazia and South Ossetia._x000d__x000a_^ a b Donetsk and Luhansk People's Republic_x000d__x000a_Note that these territories are distinct from the Ukraine-administered regions of the Donetsk and Luhansk Oblasts._x000d__x000a_^ Congo_x000d__x000a_Also known as the Republic of the Congo and not to be confused with the DR Congo._x000d__x000a_^ Taiwan_x000d__x000a_Including cases from the ROCS Pan Shi.[189]_x000d__x000a_^ Somaliland_x000d__x000a_Cases from this de facto state are not counted by Somalia._x000d__x000a_^ Isle of Man_x000d__x000a_Recoveries are presumed. Defined as &quot;An individual testing positive for coronavirus who completes the 14 day self-isolation period from the onset of symptoms who is at home on day 15, or an individual who is discharged from hospital following more severe symptoms.&quot;[199]_x000d__x000a_^ Syria_x000d__x000a_Excluding cases from the disputed Golan Heights._x000d__x000a_^ Northern Cyprus_x000d__x000a_Cases from this de facto state are not counted by Cyprus._x000d__x000a_^ Artsakh_x000d__x000a_Cases from this de facto state are not counted by Azerbaijan._x000d__x000a_^ South Ossetia_x000d__x000a_Cases from this de facto state are not counted by Georgia._x000d__x000a_^ Abkhazia_x000d__x000a_Cases from this de facto state are not counted by Georgia._x000d__x000a_^ Saint Vincent_x000d__x000a_The sovereign state of Saint Vincent and the Grenadines._x000d__x000a_^ MS Zaandam_x000d__x000a_Including cases from MS Rotterdam.The MS Rotterdam rendezvoused with the Zaandam on 26 March off the coast of Panama City to provide support and evacuate healthy passengers. Both have since docked in Florida.[267][268]MS Zaandam and Rotterdam's numbers are currently not counted in any national figures._x000d__x000a_^ Coral Princess_x000d__x000a_The cruise ship Coral Princess has tested positive cases since early April 2020 and has since docked in Miami.[271]Coral Princess's numbers are currently not counted in any national figures._x000d__x000a_^ HNLMS Dolfijn _x000d__x000a_All 8 cases currently associated with Dolfijn were reported while the submarine was at sea in the waters between Scotland and the Netherlands.[278]It is unclear whether the National Institute for Public Health and the Environment (RIVM) is including these cases in their total count, but neither their daily update details nor their daily epidemiological situation reports appear to have mentioned the ship, with a breakdown of cases listing the twelve provinces of the country of the Netherlands (as opposed to the kingdom) accounting for all the cases in the total count.[279][280]As RIVM does not report recoveries, and militaries are generally less transparent than most government agencies due to operations security concerns, it is assumed that no official report on recoveries is forthcoming." u="1"/>
        <s v="Notes^ Locations: Countries, territories, and international conveyances where cases were diagnosed. The nationality of the infected and the origin of infection may vary. For some countries, cases are split into respective territories and noted accordingly. ^ Cases: This number shows the cumulative number of confirmed human cases reported to date. The actual number of infections and cases is likely to be higher than reported.[1] Reporting criteria and testing capacity vary between countries._x000d__x000a_The total number of cases may not necessarily add up due to the frequency of values being updated for each location. ^ Deaths: Reporting criteria vary between countries._x000d__x000a_The total number of deaths may not necessarily add up due to the frequency of values being updated for each location. ^ Recoveries: May not correspond to actual current figures and not all recoveries may be reported. Reporting criteria vary between countries._x000d__x000a_The total number of recoveries may not necessarily add up due to the frequency of values being updated for each location._x000d__x000a_^ United States_x000d__x000a_Figures include cases identified on the Grand Princess.Figures do not include the unincorporated territories of Puerto Rico, Guam, Northern Mariana Islands, and U.S. Virgin Islands, all of which are listed separately.Not all states or overseas territories report recovery data.Cases include clinically diagnosed cases as per CDC guidelines.[3]Recoveries and deaths include probable deaths and people released from quarantine as per CDC guidelines.[4][5][6]Figures from the United States Department of Defense are only released on a branch-by branch basis since April 2020, without distinction between domestic and foreign deployment, and cases may be reported to local health authorities.[7]Cases for the USS Theodore Roosevelt, currently docked at Guam, are reported separate from national figures but included in the Navy's totals.There is also one case reported from Guantanamo Bay Naval Base not included in any other nation or territory's counts.[8] Since April 2020, the United States Department of Defense has directed all bases, including Guantanamo Bay, to not publicize case statistics.[7]_x000d__x000a_^ Brazil_x000d__x000a_Since 6 June, Brazilian government has ordered the Ministry of Health to stop reporting the total number of deaths and active cases.[10][11]. After this, the National Council of Health Secretaries assumed the function of reporting the total number of deaths and active cases. [12]_x000d__x000a_^ Russia_x000d__x000a_Including cases from the disputed Crimea and Sevastopol.Excluding the cases from Diamond Princess cruise ship which are classified as &quot;on an international conveyance&quot;._x000d__x000a_^ United Kingdom_x000d__x000a_Excluding all British Overseas Territories and Crown dependencies.As of 23 March 2020, the UK government does not publish the number of recoveries. The last update on 22 March reported 135 recovered patients.[16]_x000d__x000a_^ Spain_x000d__x000a_Excludes serology–confirmed cases._x000d__x000a_^ Germany_x000d__x000a_Not all state authorities count recoveries.[25]Recoveries include estimations by the Robert Koch Institute.[25][26]_x000d__x000a_^ France_x000d__x000a_Including overseas regions of French Guiana, Guadeloupe, Martinique, Mayotte and Réunion, and collectivities of Saint Barthélemy and Saint Martin.Excluding collectivities of New Caledonia, French Polynesia and Saint Pierre and Miquelon.Recoveries only include hospitalized cases.[29]Figures for total confirmed cases and total deaths include data from both hospital and nursing home (ESMS: établissements sociaux et médico-sociaux).[29]_x000d__x000a_^ Chile _x000d__x000a_Including the special territory of Easter Island.On 2 June 2020, the Chilean government decided to not publish the number of recovered patients._x000d__x000a_^ China_x000d__x000a_Excluding 236 asymptomatic cases under medical observation as of 6 June 2020[update].Asymptomatic cases were not reported before 31 March 2020.Excluding Special Administrative Regions of Hong Kong and Macau.Does not include Taiwan._x000d__x000a_^ Belgium_x000d__x000a_The number of deaths also includes untested cases and cases in retirement homes that presumably died because of COVID-19, whilst most countries only include deaths of tested cases in hospitals.[39]_x000d__x000a_^ Netherlands_x000d__x000a_The Kingdom of the Netherlands consists of a) the Netherlands* [the country as opposed to the kingdom; listed here], which in turn includes the Caribbean Netherlands, that are made up of the special municipalities Bonaire*, Saba* and Sint Eustatius*; b) Aruba*; c) Curaçao*; and d) Sint Maarten*. All regions marked with an asterisk are listed separately.The Dutch Government agency RIVM, responsible for the constituent country the Netherlands, does not count its number of recoveries.[44]_x000d__x000a_^ Egypt_x000d__x000a_Includes cases identified on the MS River Anuket._x000d__x000a_^ Ukraine_x000d__x000a_Excluding cases from the disputed Crimea and Sevastopol. Cases in these territories are included in the Russian total.Excluding cases from the unrecognized Donetsk and Lugansk People's Republics._x000d__x000a_^ Argentina_x000d__x000a_Excluding confirmed cases on the claimed territory of the Falkland Islands. Since 11 April, the Argentine Ministry of Health includes them in their official reports.[63]_x000d__x000a_^ Israel_x000d__x000a_Including cases from the disputed Golan Heights.Excluding cases from the Palestinian National Authority._x000d__x000a_^ a b Diamond Princess and Japan_x000d__x000a_The British cruise ship Diamond Princess was in Japanese waters, and the Japanese administration was asked to manage its quarantine, with the passengers having not entered Japan. Therefore, this case is included in neither the Japanese nor British official counts. The World Health Organization classifies the cases as being located &quot;on an international conveyance&quot;._x000d__x000a_^ Denmark_x000d__x000a_The autonomous territories of the Faroe Islands and Greenland are listed separately._x000d__x000a_^ Serbia_x000d__x000a_Excluding cases from the disputed territory of Kosovo._x000d__x000a_^ Moldova_x000d__x000a_Including the disputed territory of Transnistria._x000d__x000a_^ Norway_x000d__x000a_Estimation of the number of infected:_x000d__x000a_As of 23 March 2020, according to figures from just over 40 per cent of all GPs in Norway, 20,200 patients have been registered with the &quot;corona code&quot; R991. The figure includes both cases where the patient has been diagnosed with coronavirus infection through testing, and where the GP has used the &quot;corona code&quot; after assessing the patient's symptoms against the criteria by the Norwegian Institute of Public Health.[90] As of 24 March 2020, the Norwegian Institute of Public Health estimates that between 7,120 and 23,140 Norwegians are infected with the coronavirus.[91] _x000d__x000a_^ Morocco_x000d__x000a_Including cases in the disputed Western Sahara territory controlled by Morocco. There are no confirmed cases in the rest of Western Sahara.[94]_x000d__x000a_^ Azerbaijan_x000d__x000a_Excluding the self-declared state of Artsakh._x000d__x000a_^ Australia_x000d__x000a_Excluding the cases from Diamond Princess cruise ship which are classified as &quot;on an international conveyance&quot;. Ten cases, including one fatality recorded by the Australian government._x000d__x000a_^ Finland_x000d__x000a_Including the autonomous region of the Åland Islands.The number of recoveries is an estimate based on reported cases which were reported at least two weeks ago and there is no other monitoring data on the course of the disease.[101] The exact number of recoveries is not known, as only a small proportion of patients have been hospitalized.[102]_x000d__x000a_^ DR Congo_x000d__x000a_The Democratic Republic of the Congo._x000d__x000a_^ Somalia_x000d__x000a_Excluding the de facto state of Somaliland._x000d__x000a_^ Cuba_x000d__x000a_Includes cases on the MS Braemar.Excluding cases from Guantanamo Bay, which is governed by the United States._x000d__x000a_^ New Zealand_x000d__x000a_All confirmed cases of COVID-19 in New Zealand are now closed, having either resulted in a recovery or a death._x000d__x000a_^ a b Guam and USS Theodore Roosevelt _x000d__x000a_Cases for the USS Theodore Roosevelt, currently docked at Guam, are reported separately._x000d__x000a_^ Charles de Gaulle_x000d__x000a_Including cases on the escort frigate Chevalier Paul.Florence Parly, Minister of the Armed Forces, reported to the National Assembly's National Defense and Armed Forces Committee [fr] that 2010 sailors of the carrier battle group led by Charles de Gaulle had been tested, with 1081 tests returning positive so far.[158] Many of these cases were aboard Charles de Gaulle, some of the cases were reportedly aboard French frigate Chevalier Paul, and it is unclear if any other ships in the battle group had cases on board.[159][160][161]_x000d__x000a_^ Cyprus_x000d__x000a_Including the British Overseas Territory of Akrotiri and Dhekelia.Excluding de facto state of Northern Cyprus._x000d__x000a_^ a b Greg Mortimer and Uruguay_x000d__x000a_Although currently anchored off the coast of Uruguay, cases for the Greg Mortimer are currently reported separately. Six have been transferred inland for hospitalization._x000d__x000a_^ Georgia_x000d__x000a_Excluding the de facto states of Abkhazia and South Ossetia._x000d__x000a_^ a b Donetsk and Luhansk People's Republic_x000d__x000a_Note that these territories are distinct from the Ukraine-administered regions of the Donetsk and Luhansk Oblasts._x000d__x000a_^ Congo_x000d__x000a_Also known as the Republic of the Congo and not to be confused with the DR Congo._x000d__x000a_^ Taiwan_x000d__x000a_Including cases from the ROCS Pan Shi.[191]_x000d__x000a_^ Somaliland_x000d__x000a_Cases from this de facto state are not counted by Somalia._x000d__x000a_^ Isle of Man_x000d__x000a_Recoveries are presumed. Defined as &quot;An individual testing positive for coronavirus who completes the 14 day self-isolation period from the onset of symptoms who is at home on day 15, or an individual who is discharged from hospital following more severe symptoms.&quot;[201]_x000d__x000a_^ Syria_x000d__x000a_Excluding cases from the disputed Golan Heights._x000d__x000a_^ Northern Cyprus_x000d__x000a_Cases from this de facto state are not counted by Cyprus._x000d__x000a_^ Artsakh_x000d__x000a_Cases from this de facto state are not counted by Azerbaijan._x000d__x000a_^ South Ossetia_x000d__x000a_Cases from this de facto state are not counted by Georgia._x000d__x000a_^ Abkhazia_x000d__x000a_Cases from this de facto state are not counted by Georgia._x000d__x000a_^ Saint Vincent_x000d__x000a_The sovereign state of Saint Vincent and the Grenadines._x000d__x000a_^ MS Zaandam_x000d__x000a_Including cases from MS Rotterdam.The MS Rotterdam rendezvoused with the Zaandam on 26 March off the coast of Panama City to provide support and evacuate healthy passengers. Both have since docked in Florida.[269][270]MS Zaandam and Rotterdam's numbers are currently not counted in any national figures._x000d__x000a_^ Coral Princess_x000d__x000a_The cruise ship Coral Princess has tested positive cases since early April 2020 and has since docked in Miami.[273]Coral Princess's numbers are currently not counted in any national figures._x000d__x000a_^ HNLMS Dolfijn _x000d__x000a_All 8 cases currently associated with Dolfijn were reported while the submarine was at sea in the waters between Scotland and the Netherlands.[280]It is unclear whether the National Institute for Public Health and the Environment (RIVM) is including these cases in their total count, but neither their daily update details nor their daily epidemiological situation reports appear to have mentioned the ship, with a breakdown of cases listing the twelve provinces of the country of the Netherlands (as opposed to the kingdom) accounting for all the cases in the total count.[281][282]As RIVM does not report recoveries, and militaries are generally less transparent than most government agencies due to operations security concerns, it is assumed that no official report on recoveries is forthcoming." u="1"/>
      </sharedItems>
    </cacheField>
    <cacheField name="Cases" numFmtId="0">
      <sharedItems containsSemiMixedTypes="0" containsString="0" containsNumber="1" containsInteger="1" minValue="1" maxValue="7238768"/>
    </cacheField>
    <cacheField name="Deaths" numFmtId="0">
      <sharedItems containsSemiMixedTypes="0" containsString="0" containsNumber="1" containsInteger="1" minValue="0" maxValue="411279"/>
    </cacheField>
    <cacheField name="Recov." numFmtId="0">
      <sharedItems containsMixedTypes="1" containsNumber="1" containsInteger="1" minValue="0" maxValue="337383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9">
  <r>
    <x v="0"/>
    <n v="7238768"/>
    <n v="411279"/>
    <n v="3373832"/>
  </r>
  <r>
    <x v="1"/>
    <n v="2024570"/>
    <n v="113848"/>
    <n v="602215"/>
  </r>
  <r>
    <x v="2"/>
    <n v="747561"/>
    <n v="38701"/>
    <n v="325602"/>
  </r>
  <r>
    <x v="3"/>
    <n v="493657"/>
    <n v="6358"/>
    <n v="252783"/>
  </r>
  <r>
    <x v="4"/>
    <n v="290143"/>
    <n v="41128"/>
    <s v="No data"/>
  </r>
  <r>
    <x v="5"/>
    <n v="276583"/>
    <n v="7745"/>
    <n v="135206"/>
  </r>
  <r>
    <x v="6"/>
    <n v="241966"/>
    <n v="27136"/>
    <n v="150376"/>
  </r>
  <r>
    <x v="7"/>
    <n v="235561"/>
    <n v="34043"/>
    <n v="168646"/>
  </r>
  <r>
    <x v="8"/>
    <n v="203736"/>
    <n v="5738"/>
    <n v="92929"/>
  </r>
  <r>
    <x v="9"/>
    <n v="186525"/>
    <n v="8831"/>
    <n v="170671"/>
  </r>
  <r>
    <x v="10"/>
    <n v="177938"/>
    <n v="8506"/>
    <n v="140590"/>
  </r>
  <r>
    <x v="11"/>
    <n v="172114"/>
    <n v="4729"/>
    <n v="144598"/>
  </r>
  <r>
    <x v="12"/>
    <n v="154591"/>
    <n v="29296"/>
    <n v="71506"/>
  </r>
  <r>
    <x v="13"/>
    <n v="142759"/>
    <n v="2283"/>
    <s v="No data"/>
  </r>
  <r>
    <x v="14"/>
    <n v="124301"/>
    <n v="14649"/>
    <n v="91412"/>
  </r>
  <r>
    <x v="15"/>
    <n v="113702"/>
    <n v="2255"/>
    <n v="36308"/>
  </r>
  <r>
    <x v="16"/>
    <n v="112288"/>
    <n v="819"/>
    <n v="77954"/>
  </r>
  <r>
    <x v="17"/>
    <n v="96904"/>
    <n v="7908"/>
    <n v="56122"/>
  </r>
  <r>
    <x v="18"/>
    <n v="83046"/>
    <n v="4634"/>
    <n v="78357"/>
  </r>
  <r>
    <x v="19"/>
    <n v="74865"/>
    <n v="1012"/>
    <n v="15900"/>
  </r>
  <r>
    <x v="20"/>
    <n v="73595"/>
    <n v="66"/>
    <n v="49413"/>
  </r>
  <r>
    <x v="21"/>
    <n v="59569"/>
    <n v="9619"/>
    <n v="16392"/>
  </r>
  <r>
    <x v="22"/>
    <n v="52991"/>
    <n v="1162"/>
    <n v="29006"/>
  </r>
  <r>
    <x v="23"/>
    <n v="51066"/>
    <n v="288"/>
    <n v="25667"/>
  </r>
  <r>
    <x v="24"/>
    <n v="47903"/>
    <n v="6031"/>
    <s v="No data"/>
  </r>
  <r>
    <x v="25"/>
    <n v="45924"/>
    <n v="4717"/>
    <s v="No data"/>
  </r>
  <r>
    <x v="26"/>
    <n v="43917"/>
    <n v="3690"/>
    <n v="4375"/>
  </r>
  <r>
    <x v="27"/>
    <n v="42078"/>
    <n v="1372"/>
    <n v="16534"/>
  </r>
  <r>
    <x v="28"/>
    <n v="39904"/>
    <n v="283"/>
    <n v="22740"/>
  </r>
  <r>
    <x v="29"/>
    <n v="38514"/>
    <n v="25"/>
    <n v="25877"/>
  </r>
  <r>
    <x v="30"/>
    <n v="36829"/>
    <n v="1306"/>
    <n v="9786"/>
  </r>
  <r>
    <x v="31"/>
    <n v="35600"/>
    <n v="1497"/>
    <n v="21742"/>
  </r>
  <r>
    <x v="32"/>
    <n v="34316"/>
    <n v="1959"/>
    <n v="12129"/>
  </r>
  <r>
    <x v="33"/>
    <n v="33823"/>
    <n v="275"/>
    <n v="23288"/>
  </r>
  <r>
    <x v="34"/>
    <n v="31011"/>
    <n v="1675"/>
    <n v="28700"/>
  </r>
  <r>
    <x v="35"/>
    <n v="28381"/>
    <n v="833"/>
    <n v="12769"/>
  </r>
  <r>
    <x v="36"/>
    <n v="27668"/>
    <n v="1191"/>
    <n v="13411"/>
  </r>
  <r>
    <x v="37"/>
    <n v="25215"/>
    <n v="1691"/>
    <n v="22698"/>
  </r>
  <r>
    <x v="38"/>
    <n v="24748"/>
    <n v="717"/>
    <n v="7555"/>
  </r>
  <r>
    <x v="39"/>
    <n v="23732"/>
    <n v="1027"/>
    <n v="4895"/>
  </r>
  <r>
    <x v="40"/>
    <n v="22143"/>
    <n v="405"/>
    <n v="2975"/>
  </r>
  <r>
    <x v="41"/>
    <n v="20945"/>
    <n v="1360"/>
    <n v="15103"/>
  </r>
  <r>
    <x v="42"/>
    <n v="20415"/>
    <n v="544"/>
    <n v="12208"/>
  </r>
  <r>
    <x v="43"/>
    <n v="18887"/>
    <n v="84"/>
    <n v="4329"/>
  </r>
  <r>
    <x v="44"/>
    <n v="18268"/>
    <n v="299"/>
    <n v="15168"/>
  </r>
  <r>
    <x v="45"/>
    <n v="17251"/>
    <n v="919"/>
    <n v="15298"/>
  </r>
  <r>
    <x v="46"/>
    <n v="17005"/>
    <n v="673"/>
    <n v="15910"/>
  </r>
  <r>
    <x v="47"/>
    <n v="16854"/>
    <n v="398"/>
    <n v="10401"/>
  </r>
  <r>
    <x v="48"/>
    <n v="15731"/>
    <n v="29"/>
    <n v="10606"/>
  </r>
  <r>
    <x v="49"/>
    <n v="15414"/>
    <n v="426"/>
    <n v="6214"/>
  </r>
  <r>
    <x v="50"/>
    <n v="14644"/>
    <n v="487"/>
    <n v="2190"/>
  </r>
  <r>
    <x v="51"/>
    <n v="14103"/>
    <n v="227"/>
    <n v="5226"/>
  </r>
  <r>
    <x v="52"/>
    <n v="13464"/>
    <n v="365"/>
    <n v="4206"/>
  </r>
  <r>
    <x v="53"/>
    <n v="13319"/>
    <n v="61"/>
    <n v="8015"/>
  </r>
  <r>
    <x v="54"/>
    <n v="12001"/>
    <n v="593"/>
    <n v="10849"/>
  </r>
  <r>
    <x v="55"/>
    <n v="11965"/>
    <n v="250"/>
    <n v="11348"/>
  </r>
  <r>
    <x v="56"/>
    <n v="11902"/>
    <n v="276"/>
    <n v="10611"/>
  </r>
  <r>
    <x v="57"/>
    <n v="10484"/>
    <n v="732"/>
    <n v="7074"/>
  </r>
  <r>
    <x v="58"/>
    <n v="10321"/>
    <n v="371"/>
    <n v="5930"/>
  </r>
  <r>
    <x v="59"/>
    <n v="10201"/>
    <n v="48"/>
    <n v="3755"/>
  </r>
  <r>
    <x v="60"/>
    <n v="9763"/>
    <n v="330"/>
    <n v="7057"/>
  </r>
  <r>
    <x v="61"/>
    <n v="8681"/>
    <n v="208"/>
    <n v="4836"/>
  </r>
  <r>
    <x v="62"/>
    <n v="8576"/>
    <n v="239"/>
    <n v="8138"/>
  </r>
  <r>
    <x v="63"/>
    <n v="8530"/>
    <n v="102"/>
    <n v="4720"/>
  </r>
  <r>
    <x v="64"/>
    <n v="8455"/>
    <n v="210"/>
    <n v="7496"/>
  </r>
  <r>
    <x v="65"/>
    <n v="8338"/>
    <n v="118"/>
    <n v="7014"/>
  </r>
  <r>
    <x v="66"/>
    <n v="7866"/>
    <n v="289"/>
    <n v="1413"/>
  </r>
  <r>
    <x v="67"/>
    <n v="7265"/>
    <n v="102"/>
    <n v="6720"/>
  </r>
  <r>
    <x v="68"/>
    <n v="7040"/>
    <n v="324"/>
    <n v="5800"/>
  </r>
  <r>
    <x v="69"/>
    <n v="6935"/>
    <n v="271"/>
    <n v="787"/>
  </r>
  <r>
    <x v="70"/>
    <n v="6427"/>
    <n v="389"/>
    <n v="2127"/>
  </r>
  <r>
    <x v="71"/>
    <n v="5329"/>
    <n v="143"/>
    <n v="850"/>
  </r>
  <r>
    <x v="72"/>
    <n v="4690"/>
    <n v="48"/>
    <n v="2815"/>
  </r>
  <r>
    <x v="73"/>
    <n v="4547"/>
    <n v="18"/>
    <n v="3459"/>
  </r>
  <r>
    <x v="74"/>
    <n v="4516"/>
    <n v="51"/>
    <n v="2809"/>
  </r>
  <r>
    <x v="75"/>
    <n v="4390"/>
    <n v="96"/>
    <n v="565"/>
  </r>
  <r>
    <x v="76"/>
    <n v="4331"/>
    <n v="314"/>
    <n v="2139"/>
  </r>
  <r>
    <x v="77"/>
    <n v="4258"/>
    <n v="23"/>
    <n v="2942"/>
  </r>
  <r>
    <x v="78"/>
    <n v="4085"/>
    <n v="15"/>
    <n v="584"/>
  </r>
  <r>
    <x v="79"/>
    <n v="4046"/>
    <n v="110"/>
    <n v="3901"/>
  </r>
  <r>
    <x v="80"/>
    <n v="4027"/>
    <n v="551"/>
    <n v="2355"/>
  </r>
  <r>
    <x v="81"/>
    <n v="3995"/>
    <n v="38"/>
    <n v="2045"/>
  </r>
  <r>
    <x v="82"/>
    <n v="3662"/>
    <n v="56"/>
    <n v="24"/>
  </r>
  <r>
    <x v="83"/>
    <n v="3364"/>
    <n v="164"/>
    <n v="1664"/>
  </r>
  <r>
    <x v="84"/>
    <n v="3294"/>
    <n v="21"/>
    <n v="956"/>
  </r>
  <r>
    <x v="85"/>
    <n v="3273"/>
    <n v="60"/>
    <n v="1438"/>
  </r>
  <r>
    <x v="86"/>
    <n v="3125"/>
    <n v="58"/>
    <n v="2981"/>
  </r>
  <r>
    <x v="87"/>
    <n v="3058"/>
    <n v="183"/>
    <n v="1374"/>
  </r>
  <r>
    <x v="88"/>
    <n v="3094"/>
    <n v="89"/>
    <n v="1048"/>
  </r>
  <r>
    <x v="89"/>
    <n v="2889"/>
    <n v="167"/>
    <n v="1623"/>
  </r>
  <r>
    <x v="90"/>
    <n v="2775"/>
    <n v="161"/>
    <n v="2063"/>
  </r>
  <r>
    <x v="91"/>
    <n v="2632"/>
    <n v="23"/>
    <n v="487"/>
  </r>
  <r>
    <x v="92"/>
    <n v="2506"/>
    <n v="35"/>
    <n v="401"/>
  </r>
  <r>
    <x v="93"/>
    <n v="2416"/>
    <n v="85"/>
    <n v="489"/>
  </r>
  <r>
    <x v="94"/>
    <n v="2247"/>
    <n v="106"/>
    <n v="2130"/>
  </r>
  <r>
    <x v="95"/>
    <n v="2205"/>
    <n v="83"/>
    <n v="1880"/>
  </r>
  <r>
    <x v="96"/>
    <n v="2093"/>
    <n v="26"/>
    <n v="1572"/>
  </r>
  <r>
    <x v="97"/>
    <n v="1958"/>
    <n v="69"/>
    <n v="1690"/>
  </r>
  <r>
    <x v="98"/>
    <n v="1942"/>
    <n v="8"/>
    <n v="1010"/>
  </r>
  <r>
    <x v="99"/>
    <n v="1859"/>
    <n v="11"/>
    <n v="1057"/>
  </r>
  <r>
    <x v="100"/>
    <n v="1850"/>
    <n v="5"/>
    <n v="38"/>
  </r>
  <r>
    <x v="101"/>
    <n v="1807"/>
    <n v="10"/>
    <n v="1794"/>
  </r>
  <r>
    <x v="102"/>
    <n v="1733"/>
    <n v="74"/>
    <n v="1369"/>
  </r>
  <r>
    <x v="103"/>
    <n v="1604"/>
    <n v="19"/>
    <n v="15"/>
  </r>
  <r>
    <x v="104"/>
    <n v="1586"/>
    <n v="94"/>
    <n v="931"/>
  </r>
  <r>
    <x v="105"/>
    <n v="1533"/>
    <n v="28"/>
    <n v="1404"/>
  </r>
  <r>
    <x v="106"/>
    <n v="1486"/>
    <n v="109"/>
    <n v="1359"/>
  </r>
  <r>
    <x v="107"/>
    <n v="1464"/>
    <n v="55"/>
    <n v="953"/>
  </r>
  <r>
    <x v="108"/>
    <n v="1389"/>
    <n v="12"/>
    <n v="153"/>
  </r>
  <r>
    <x v="109"/>
    <n v="1375"/>
    <n v="11"/>
    <n v="717"/>
  </r>
  <r>
    <x v="110"/>
    <n v="1368"/>
    <n v="30"/>
    <n v="795"/>
  </r>
  <r>
    <x v="111"/>
    <n v="1341"/>
    <n v="34"/>
    <n v="980"/>
  </r>
  <r>
    <x v="112"/>
    <n v="1306"/>
    <n v="12"/>
    <n v="200"/>
  </r>
  <r>
    <x v="113"/>
    <n v="1263"/>
    <n v="31"/>
    <n v="912"/>
  </r>
  <r>
    <x v="114"/>
    <n v="1200"/>
    <n v="10"/>
    <n v="912"/>
  </r>
  <r>
    <x v="115"/>
    <n v="1187"/>
    <n v="11"/>
    <n v="604"/>
  </r>
  <r>
    <x v="116"/>
    <n v="1162"/>
    <n v="61"/>
    <n v="139"/>
  </r>
  <r>
    <x v="117"/>
    <n v="1154"/>
    <n v="22"/>
    <n v="1132"/>
  </r>
  <r>
    <x v="118"/>
    <n v="1138"/>
    <n v="9"/>
    <n v="274"/>
  </r>
  <r>
    <x v="119"/>
    <n v="1108"/>
    <n v="4"/>
    <n v="1049"/>
  </r>
  <r>
    <x v="120"/>
    <n v="1102"/>
    <n v="1"/>
    <n v="53"/>
  </r>
  <r>
    <x v="121"/>
    <n v="1092"/>
    <n v="26"/>
    <n v="794"/>
  </r>
  <r>
    <x v="122"/>
    <n v="1087"/>
    <n v="49"/>
    <n v="982"/>
  </r>
  <r>
    <x v="123"/>
    <n v="1081"/>
    <n v="0"/>
    <n v="0"/>
  </r>
  <r>
    <x v="124"/>
    <n v="1025"/>
    <n v="50"/>
    <n v="621"/>
  </r>
  <r>
    <x v="125"/>
    <n v="974"/>
    <n v="65"/>
    <n v="871"/>
  </r>
  <r>
    <x v="126"/>
    <n v="972"/>
    <n v="18"/>
    <n v="807"/>
  </r>
  <r>
    <x v="127"/>
    <n v="891"/>
    <n v="53"/>
    <n v="765"/>
  </r>
  <r>
    <x v="128"/>
    <n v="852"/>
    <n v="51"/>
    <n v="751"/>
  </r>
  <r>
    <x v="129"/>
    <n v="846"/>
    <n v="23"/>
    <n v="754"/>
  </r>
  <r>
    <x v="130"/>
    <n v="845"/>
    <n v="9"/>
    <n v="657"/>
  </r>
  <r>
    <x v="131"/>
    <n v="844"/>
    <n v="71"/>
    <n v="706"/>
  </r>
  <r>
    <x v="132"/>
    <n v="822"/>
    <n v="13"/>
    <n v="690"/>
  </r>
  <r>
    <x v="133"/>
    <n v="728"/>
    <n v="24"/>
    <n v="221"/>
  </r>
  <r>
    <x v="134"/>
    <n v="718"/>
    <n v="28"/>
    <n v="169"/>
  </r>
  <r>
    <x v="135"/>
    <n v="712"/>
    <n v="14"/>
    <n v="653"/>
  </r>
  <r>
    <x v="136"/>
    <n v="688"/>
    <n v="42"/>
    <n v="483"/>
  </r>
  <r>
    <x v="137"/>
    <n v="657"/>
    <n v="0"/>
    <n v="118"/>
  </r>
  <r>
    <x v="138"/>
    <n v="632"/>
    <n v="9"/>
    <n v="597"/>
  </r>
  <r>
    <x v="139"/>
    <n v="599"/>
    <n v="10"/>
    <n v="405"/>
  </r>
  <r>
    <x v="140"/>
    <n v="585"/>
    <n v="5"/>
    <n v="270"/>
  </r>
  <r>
    <x v="141"/>
    <n v="524"/>
    <n v="127"/>
    <n v="23"/>
  </r>
  <r>
    <x v="142"/>
    <n v="514"/>
    <n v="12"/>
    <n v="76"/>
  </r>
  <r>
    <x v="143"/>
    <n v="509"/>
    <n v="21"/>
    <n v="183"/>
  </r>
  <r>
    <x v="144"/>
    <n v="501"/>
    <n v="13"/>
    <n v="260"/>
  </r>
  <r>
    <x v="145"/>
    <n v="481"/>
    <n v="3"/>
    <n v="404"/>
  </r>
  <r>
    <x v="146"/>
    <n v="463"/>
    <n v="2"/>
    <n v="300"/>
  </r>
  <r>
    <x v="147"/>
    <n v="455"/>
    <n v="4"/>
    <n v="55"/>
  </r>
  <r>
    <x v="148"/>
    <n v="453"/>
    <n v="2"/>
    <n v="136"/>
  </r>
  <r>
    <x v="149"/>
    <n v="443"/>
    <n v="7"/>
    <n v="430"/>
  </r>
  <r>
    <x v="150"/>
    <n v="430"/>
    <n v="24"/>
    <n v="64"/>
  </r>
  <r>
    <x v="151"/>
    <n v="429"/>
    <n v="9"/>
    <n v="357"/>
  </r>
  <r>
    <x v="152"/>
    <n v="383"/>
    <n v="31"/>
    <n v="199"/>
  </r>
  <r>
    <x v="153"/>
    <n v="371"/>
    <n v="3"/>
    <n v="232"/>
  </r>
  <r>
    <x v="154"/>
    <n v="359"/>
    <n v="5"/>
    <n v="58"/>
  </r>
  <r>
    <x v="155"/>
    <n v="337"/>
    <n v="10"/>
    <n v="324"/>
  </r>
  <r>
    <x v="156"/>
    <n v="336"/>
    <n v="24"/>
    <n v="312"/>
  </r>
  <r>
    <x v="157"/>
    <n v="332"/>
    <n v="0"/>
    <n v="316"/>
  </r>
  <r>
    <x v="158"/>
    <n v="324"/>
    <n v="9"/>
    <n v="315"/>
  </r>
  <r>
    <x v="159"/>
    <n v="314"/>
    <n v="4"/>
    <n v="46"/>
  </r>
  <r>
    <x v="160"/>
    <n v="312"/>
    <n v="30"/>
    <n v="290"/>
  </r>
  <r>
    <x v="161"/>
    <n v="305"/>
    <n v="4"/>
    <n v="188"/>
  </r>
  <r>
    <x v="162"/>
    <n v="252"/>
    <n v="13"/>
    <n v="238"/>
  </r>
  <r>
    <x v="163"/>
    <n v="246"/>
    <n v="6"/>
    <n v="159"/>
  </r>
  <r>
    <x v="164"/>
    <n v="194"/>
    <n v="0"/>
    <n v="75"/>
  </r>
  <r>
    <x v="165"/>
    <n v="187"/>
    <n v="0"/>
    <n v="187"/>
  </r>
  <r>
    <x v="166"/>
    <n v="180"/>
    <n v="5"/>
    <n v="163"/>
  </r>
  <r>
    <x v="167"/>
    <n v="176"/>
    <n v="0"/>
    <n v="164"/>
  </r>
  <r>
    <x v="168"/>
    <n v="176"/>
    <n v="1"/>
    <n v="104"/>
  </r>
  <r>
    <x v="169"/>
    <n v="156"/>
    <n v="12"/>
    <n v="86"/>
  </r>
  <r>
    <x v="170"/>
    <n v="148"/>
    <n v="0"/>
    <n v="0"/>
  </r>
  <r>
    <x v="171"/>
    <n v="146"/>
    <n v="6"/>
    <n v="62"/>
  </r>
  <r>
    <x v="172"/>
    <n v="141"/>
    <n v="9"/>
    <n v="114"/>
  </r>
  <r>
    <x v="173"/>
    <n v="141"/>
    <n v="2"/>
    <n v="138"/>
  </r>
  <r>
    <x v="174"/>
    <n v="141"/>
    <n v="2"/>
    <n v="67"/>
  </r>
  <r>
    <x v="175"/>
    <n v="137"/>
    <n v="2"/>
    <n v="9"/>
  </r>
  <r>
    <x v="176"/>
    <n v="128"/>
    <n v="1"/>
    <s v="No data"/>
  </r>
  <r>
    <x v="177"/>
    <n v="126"/>
    <n v="0"/>
    <n v="125"/>
  </r>
  <r>
    <x v="178"/>
    <n v="117"/>
    <n v="8"/>
    <n v="108"/>
  </r>
  <r>
    <x v="179"/>
    <n v="108"/>
    <n v="4"/>
    <n v="104"/>
  </r>
  <r>
    <x v="180"/>
    <n v="103"/>
    <n v="11"/>
    <n v="62"/>
  </r>
  <r>
    <x v="181"/>
    <n v="101"/>
    <n v="3"/>
    <n v="98"/>
  </r>
  <r>
    <x v="182"/>
    <n v="99"/>
    <n v="4"/>
    <n v="93"/>
  </r>
  <r>
    <x v="183"/>
    <n v="96"/>
    <n v="4"/>
    <n v="38"/>
  </r>
  <r>
    <x v="184"/>
    <n v="92"/>
    <n v="7"/>
    <n v="81"/>
  </r>
  <r>
    <x v="185"/>
    <n v="83"/>
    <n v="1"/>
    <n v="45"/>
  </r>
  <r>
    <x v="186"/>
    <n v="82"/>
    <n v="1"/>
    <n v="55"/>
  </r>
  <r>
    <x v="187"/>
    <n v="77"/>
    <n v="15"/>
    <n v="61"/>
  </r>
  <r>
    <x v="188"/>
    <n v="71"/>
    <n v="6"/>
    <n v="63"/>
  </r>
  <r>
    <x v="189"/>
    <n v="60"/>
    <n v="0"/>
    <n v="60"/>
  </r>
  <r>
    <x v="190"/>
    <n v="59"/>
    <n v="0"/>
    <n v="18"/>
  </r>
  <r>
    <x v="191"/>
    <n v="64"/>
    <n v="0"/>
    <n v="43"/>
  </r>
  <r>
    <x v="192"/>
    <n v="57"/>
    <n v="0"/>
    <n v="31"/>
  </r>
  <r>
    <x v="193"/>
    <n v="45"/>
    <n v="0"/>
    <n v="45"/>
  </r>
  <r>
    <x v="194"/>
    <n v="42"/>
    <n v="1"/>
    <n v="24"/>
  </r>
  <r>
    <x v="195"/>
    <n v="39"/>
    <n v="0"/>
    <n v="39"/>
  </r>
  <r>
    <x v="196"/>
    <n v="35"/>
    <n v="1"/>
    <n v="27"/>
  </r>
  <r>
    <x v="197"/>
    <n v="31"/>
    <n v="0"/>
    <n v="17"/>
  </r>
  <r>
    <x v="198"/>
    <n v="30"/>
    <n v="2"/>
    <n v="19"/>
  </r>
  <r>
    <x v="199"/>
    <n v="28"/>
    <n v="1"/>
    <n v="21"/>
  </r>
  <r>
    <x v="200"/>
    <n v="27"/>
    <n v="0"/>
    <n v="16"/>
  </r>
  <r>
    <x v="201"/>
    <n v="26"/>
    <n v="3"/>
    <n v="20"/>
  </r>
  <r>
    <x v="202"/>
    <n v="24"/>
    <n v="0"/>
    <n v="24"/>
  </r>
  <r>
    <x v="203"/>
    <n v="23"/>
    <n v="0"/>
    <n v="22"/>
  </r>
  <r>
    <x v="204"/>
    <n v="21"/>
    <n v="1"/>
    <n v="16"/>
  </r>
  <r>
    <x v="205"/>
    <n v="21"/>
    <n v="0"/>
    <n v="20"/>
  </r>
  <r>
    <x v="206"/>
    <n v="20"/>
    <n v="2"/>
    <n v="16"/>
  </r>
  <r>
    <x v="207"/>
    <n v="19"/>
    <n v="0"/>
    <n v="19"/>
  </r>
  <r>
    <x v="208"/>
    <n v="19"/>
    <n v="0"/>
    <n v="18"/>
  </r>
  <r>
    <x v="209"/>
    <n v="18"/>
    <n v="0"/>
    <n v="18"/>
  </r>
  <r>
    <x v="210"/>
    <n v="18"/>
    <n v="0"/>
    <n v="16"/>
  </r>
  <r>
    <x v="211"/>
    <n v="15"/>
    <n v="0"/>
    <n v="15"/>
  </r>
  <r>
    <x v="212"/>
    <n v="13"/>
    <n v="0"/>
    <n v="13"/>
  </r>
  <r>
    <x v="213"/>
    <n v="13"/>
    <n v="0"/>
    <n v="13"/>
  </r>
  <r>
    <x v="214"/>
    <n v="13"/>
    <n v="4"/>
    <s v="No data"/>
  </r>
  <r>
    <x v="215"/>
    <n v="12"/>
    <n v="2"/>
    <s v="No data"/>
  </r>
  <r>
    <x v="216"/>
    <n v="12"/>
    <n v="1"/>
    <n v="10"/>
  </r>
  <r>
    <x v="217"/>
    <n v="12"/>
    <n v="0"/>
    <n v="12"/>
  </r>
  <r>
    <x v="218"/>
    <n v="11"/>
    <n v="1"/>
    <n v="10"/>
  </r>
  <r>
    <x v="219"/>
    <n v="11"/>
    <n v="0"/>
    <n v="11"/>
  </r>
  <r>
    <x v="220"/>
    <n v="8"/>
    <n v="1"/>
    <n v="7"/>
  </r>
  <r>
    <x v="221"/>
    <n v="8"/>
    <n v="0"/>
    <s v="No data"/>
  </r>
  <r>
    <x v="222"/>
    <n v="8"/>
    <n v="0"/>
    <n v="8"/>
  </r>
  <r>
    <x v="223"/>
    <n v="4"/>
    <n v="0"/>
    <n v="2"/>
  </r>
  <r>
    <x v="224"/>
    <n v="3"/>
    <n v="0"/>
    <n v="3"/>
  </r>
  <r>
    <x v="225"/>
    <n v="3"/>
    <n v="0"/>
    <n v="3"/>
  </r>
  <r>
    <x v="226"/>
    <n v="2"/>
    <n v="0"/>
    <n v="2"/>
  </r>
  <r>
    <x v="227"/>
    <n v="2"/>
    <n v="0"/>
    <n v="2"/>
  </r>
  <r>
    <x v="228"/>
    <n v="1"/>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58900F-A3C2-4444-8B84-01858798D6AF}" name="PVT_Covid"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3">
  <location ref="A3:D13" firstHeaderRow="0" firstDataRow="1" firstDataCol="1"/>
  <pivotFields count="4">
    <pivotField axis="axisRow" multipleItemSelectionAllowed="1" showAll="0" measureFilter="1" sortType="descending">
      <items count="235">
        <item x="196"/>
        <item x="40"/>
        <item x="111"/>
        <item x="57"/>
        <item x="128"/>
        <item x="183"/>
        <item x="224"/>
        <item x="201"/>
        <item x="38"/>
        <item x="51"/>
        <item x="191"/>
        <item x="181"/>
        <item m="1" x="230"/>
        <item x="67"/>
        <item x="46"/>
        <item x="63"/>
        <item x="180"/>
        <item x="48"/>
        <item x="19"/>
        <item x="184"/>
        <item x="23"/>
        <item x="21"/>
        <item x="206"/>
        <item x="161"/>
        <item x="172"/>
        <item x="190"/>
        <item x="50"/>
        <item x="226"/>
        <item x="90"/>
        <item x="194"/>
        <item x="2"/>
        <item x="220"/>
        <item x="173"/>
        <item x="89"/>
        <item x="127"/>
        <item x="185"/>
        <item x="177"/>
        <item x="61"/>
        <item x="17"/>
        <item x="140"/>
        <item x="168"/>
        <item x="100"/>
        <item x="131"/>
        <item x="123"/>
        <item x="13"/>
        <item x="18"/>
        <item x="27"/>
        <item x="174"/>
        <item x="133"/>
        <item x="215"/>
        <item x="170"/>
        <item x="109"/>
        <item x="94"/>
        <item x="95"/>
        <item x="204"/>
        <item x="126"/>
        <item x="60"/>
        <item x="54"/>
        <item x="135"/>
        <item x="76"/>
        <item x="210"/>
        <item x="42"/>
        <item x="134"/>
        <item x="75"/>
        <item x="202"/>
        <item x="26"/>
        <item x="30"/>
        <item x="85"/>
        <item x="112"/>
        <item x="195"/>
        <item x="97"/>
        <item x="153"/>
        <item x="92"/>
        <item x="212"/>
        <item x="165"/>
        <item x="209"/>
        <item x="68"/>
        <item x="12"/>
        <item x="189"/>
        <item x="84"/>
        <item x="132"/>
        <item x="9"/>
        <item x="59"/>
        <item x="167"/>
        <item x="87"/>
        <item x="213"/>
        <item x="176"/>
        <item x="203"/>
        <item x="166"/>
        <item x="66"/>
        <item x="162"/>
        <item x="77"/>
        <item x="108"/>
        <item x="169"/>
        <item x="82"/>
        <item x="221"/>
        <item x="69"/>
        <item x="119"/>
        <item x="80"/>
        <item x="101"/>
        <item x="5"/>
        <item x="32"/>
        <item x="10"/>
        <item x="49"/>
        <item x="37"/>
        <item x="156"/>
        <item x="44"/>
        <item x="7"/>
        <item x="81"/>
        <item x="139"/>
        <item x="45"/>
        <item x="160"/>
        <item x="130"/>
        <item x="53"/>
        <item x="88"/>
        <item x="113"/>
        <item x="33"/>
        <item x="96"/>
        <item x="207"/>
        <item x="121"/>
        <item x="110"/>
        <item x="223"/>
        <item x="152"/>
        <item x="154"/>
        <item x="186"/>
        <item x="102"/>
        <item x="151"/>
        <item x="79"/>
        <item x="193"/>
        <item x="118"/>
        <item x="147"/>
        <item x="65"/>
        <item x="98"/>
        <item x="104"/>
        <item x="138"/>
        <item x="116"/>
        <item x="155"/>
        <item x="14"/>
        <item x="58"/>
        <item x="182"/>
        <item x="164"/>
        <item x="158"/>
        <item x="218"/>
        <item x="64"/>
        <item x="148"/>
        <item x="214"/>
        <item x="163"/>
        <item x="197"/>
        <item x="78"/>
        <item x="24"/>
        <item x="205"/>
        <item x="117"/>
        <item x="107"/>
        <item x="125"/>
        <item x="52"/>
        <item x="83"/>
        <item x="179"/>
        <item x="198"/>
        <item x="62"/>
        <item m="1" x="232"/>
        <item x="43"/>
        <item x="15"/>
        <item x="145"/>
        <item x="47"/>
        <item x="222"/>
        <item x="115"/>
        <item x="8"/>
        <item x="39"/>
        <item x="36"/>
        <item x="31"/>
        <item x="71"/>
        <item x="20"/>
        <item x="41"/>
        <item x="3"/>
        <item x="146"/>
        <item x="225"/>
        <item x="211"/>
        <item x="208"/>
        <item x="228"/>
        <item x="200"/>
        <item x="136"/>
        <item x="142"/>
        <item x="16"/>
        <item x="74"/>
        <item x="55"/>
        <item x="219"/>
        <item x="124"/>
        <item x="29"/>
        <item x="227"/>
        <item x="187"/>
        <item x="105"/>
        <item x="106"/>
        <item x="93"/>
        <item x="150"/>
        <item x="22"/>
        <item x="56"/>
        <item x="192"/>
        <item x="103"/>
        <item x="6"/>
        <item x="99"/>
        <item x="70"/>
        <item x="175"/>
        <item x="25"/>
        <item x="34"/>
        <item x="171"/>
        <item x="149"/>
        <item x="72"/>
        <item x="143"/>
        <item x="86"/>
        <item x="199"/>
        <item x="144"/>
        <item x="178"/>
        <item x="122"/>
        <item x="11"/>
        <item x="216"/>
        <item x="188"/>
        <item x="137"/>
        <item x="35"/>
        <item x="28"/>
        <item x="4"/>
        <item x="1"/>
        <item x="129"/>
        <item x="120"/>
        <item x="73"/>
        <item x="217"/>
        <item x="91"/>
        <item x="157"/>
        <item x="0"/>
        <item x="141"/>
        <item x="114"/>
        <item x="159"/>
        <item m="1" x="229"/>
        <item m="1" x="231"/>
        <item m="1" x="233"/>
        <item t="default"/>
      </items>
      <autoSortScope>
        <pivotArea dataOnly="0" outline="0" fieldPosition="0">
          <references count="1">
            <reference field="4294967294" count="1" selected="0">
              <x v="0"/>
            </reference>
          </references>
        </pivotArea>
      </autoSortScope>
    </pivotField>
    <pivotField dataField="1" showAll="0"/>
    <pivotField dataField="1" showAll="0"/>
    <pivotField dataField="1" showAll="0"/>
  </pivotFields>
  <rowFields count="1">
    <field x="0"/>
  </rowFields>
  <rowItems count="10">
    <i>
      <x v="227"/>
    </i>
    <i>
      <x v="220"/>
    </i>
    <i>
      <x v="30"/>
    </i>
    <i>
      <x v="173"/>
    </i>
    <i>
      <x v="219"/>
    </i>
    <i>
      <x v="100"/>
    </i>
    <i>
      <x v="198"/>
    </i>
    <i>
      <x v="107"/>
    </i>
    <i>
      <x v="166"/>
    </i>
    <i>
      <x v="81"/>
    </i>
  </rowItems>
  <colFields count="1">
    <field x="-2"/>
  </colFields>
  <colItems count="3">
    <i>
      <x/>
    </i>
    <i i="1">
      <x v="1"/>
    </i>
    <i i="2">
      <x v="2"/>
    </i>
  </colItems>
  <dataFields count="3">
    <dataField name=" Cases" fld="1" baseField="0" baseItem="0"/>
    <dataField name=" Deaths" fld="2" baseField="0" baseItem="0"/>
    <dataField name="Recovered" fld="3" baseField="0" baseItem="219"/>
  </dataFields>
  <formats count="2">
    <format dxfId="8">
      <pivotArea outline="0" collapsedLevelsAreSubtotals="1" fieldPosition="0"/>
    </format>
    <format dxfId="7">
      <pivotArea dataOnly="0" labelOnly="1" outline="0" fieldPosition="0">
        <references count="1">
          <reference field="4294967294" count="3">
            <x v="0"/>
            <x v="1"/>
            <x v="2"/>
          </reference>
        </references>
      </pivotArea>
    </format>
  </formats>
  <chartFormats count="3">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C42B132-A7CE-433D-8BF8-EF919B23A995}" autoFormatId="16" applyNumberFormats="0" applyBorderFormats="0" applyFontFormats="0" applyPatternFormats="0" applyAlignmentFormats="0" applyWidthHeightFormats="0">
  <queryTableRefresh nextId="15">
    <queryTableFields count="4">
      <queryTableField id="11" name="Location" tableColumnId="7"/>
      <queryTableField id="12" name="Cases" tableColumnId="8"/>
      <queryTableField id="13" name="Deaths" tableColumnId="9"/>
      <queryTableField id="14" name="Recov." tableColumnId="10"/>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920BD8-FB9A-49DE-AD1D-4D8B9EA521FC}" name="Table8" displayName="Table8" ref="A1:D230" totalsRowShown="0">
  <autoFilter ref="A1:D230" xr:uid="{9788F51F-2CAB-41B6-B81B-E476362A4EA8}"/>
  <tableColumns count="4">
    <tableColumn id="1" xr3:uid="{1E13E29A-77E5-4D37-9637-24F75DD5B755}" name="Location"/>
    <tableColumn id="2" xr3:uid="{22AF7B95-868A-4DE1-BE1E-D24FC901854C}" name="Cases"/>
    <tableColumn id="3" xr3:uid="{AB3696D0-6D81-4F35-BA67-DEB66A27145E}" name="Deaths"/>
    <tableColumn id="4" xr3:uid="{6A5DAE79-DF4E-4CA6-A854-14FF3D6304DE}" name="Recov."/>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40727-78AA-47AC-A017-5F39484ACA3E}" name="TB_CovCases" displayName="TB_CovCases" ref="A1:D230" tableType="queryTable" totalsRowShown="0">
  <autoFilter ref="A1:D230" xr:uid="{CF54C55C-E973-49FF-B69C-76F5AA9C68E2}"/>
  <tableColumns count="4">
    <tableColumn id="7" xr3:uid="{69A72557-ABE8-4E71-84AB-D5229C26A37B}" uniqueName="7" name="Location" queryTableFieldId="11" dataDxfId="1"/>
    <tableColumn id="8" xr3:uid="{9EE75B05-8558-433D-91B1-F376E29B6E09}" uniqueName="8" name="Cases" queryTableFieldId="12"/>
    <tableColumn id="9" xr3:uid="{F6F61797-A1C4-42F2-A285-334332FEE108}" uniqueName="9" name="Deaths" queryTableFieldId="13"/>
    <tableColumn id="10" xr3:uid="{47DB7FDE-78DA-4C8F-AD8C-BC0CD98403AD}" uniqueName="10" name="Recov." queryTableFieldId="14"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B5935-49DD-46F7-B269-CCD5276F2C9A}" name="Table7" displayName="Table7" ref="A1:D230" totalsRowShown="0" headerRowBorderDxfId="6" tableBorderDxfId="5">
  <autoFilter ref="A1:D230" xr:uid="{446133B2-AD9C-40F0-BD34-427C318D6CC1}"/>
  <tableColumns count="4">
    <tableColumn id="1" xr3:uid="{FAB6F6A2-B33C-4B93-99BE-D0D08689C029}" name="Location"/>
    <tableColumn id="2" xr3:uid="{D8DFE3E4-672F-4FE2-B37E-DB6D3838ED12}" name="Cases" dataDxfId="4">
      <calculatedColumnFormula>VLOOKUP(A2,'All Countries Data - Current'!$A$1:$D$230,2,FALSE)-VLOOKUP(A2,'All Countries Data - Prev'!$A:$D,2,FALSE)</calculatedColumnFormula>
    </tableColumn>
    <tableColumn id="3" xr3:uid="{767DFE29-BFB2-477E-AFC2-0230EED23C78}" name="Deaths" dataDxfId="3">
      <calculatedColumnFormula>IFERROR(VLOOKUP(A2,'All Countries Data - Current'!$A$1:$D$230,3,FALSE)-VLOOKUP(A2,'All Countries Data - Prev'!$A:$D,3,FALSE), "No Data")</calculatedColumnFormula>
    </tableColumn>
    <tableColumn id="4" xr3:uid="{065440C4-8458-4EB5-9516-6D7C2A9D1D7B}" name="Recov." dataDxfId="2">
      <calculatedColumnFormula>IF(TRIM(VLOOKUP(A2,'All Countries Data - Current'!$A$1:$D$230,4,FALSE))="No data","No Data",VLOOKUP(A2,'All Countries Data - Current'!$A$1:$D$230,4,FALSE)-VLOOKUP(A2,'All Countries Data - Prev'!$A:$D,4,FALSE))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0E145-5747-4816-8E25-BE5ABAFB75AA}">
  <sheetPr codeName="Sheet6"/>
  <dimension ref="A1:F230"/>
  <sheetViews>
    <sheetView workbookViewId="0">
      <selection activeCell="A2" sqref="A2:D230"/>
    </sheetView>
  </sheetViews>
  <sheetFormatPr defaultRowHeight="15" x14ac:dyDescent="0.25"/>
  <cols>
    <col min="1" max="4" width="33.7109375" customWidth="1"/>
  </cols>
  <sheetData>
    <row r="1" spans="1:6" x14ac:dyDescent="0.25">
      <c r="A1" t="s">
        <v>156</v>
      </c>
      <c r="B1" t="s">
        <v>157</v>
      </c>
      <c r="C1" t="s">
        <v>158</v>
      </c>
      <c r="D1" t="s">
        <v>159</v>
      </c>
    </row>
    <row r="2" spans="1:6" ht="16.5" customHeight="1" x14ac:dyDescent="0.25">
      <c r="A2" t="s">
        <v>160</v>
      </c>
      <c r="B2">
        <v>7121700</v>
      </c>
      <c r="C2">
        <v>406616</v>
      </c>
      <c r="D2" s="6">
        <v>3295396</v>
      </c>
    </row>
    <row r="3" spans="1:6" x14ac:dyDescent="0.25">
      <c r="A3" t="s">
        <v>161</v>
      </c>
      <c r="B3">
        <v>2001334</v>
      </c>
      <c r="C3">
        <v>112597</v>
      </c>
      <c r="D3" s="6">
        <v>531808</v>
      </c>
      <c r="F3" s="14"/>
    </row>
    <row r="4" spans="1:6" x14ac:dyDescent="0.25">
      <c r="A4" t="s">
        <v>65</v>
      </c>
      <c r="B4">
        <v>710887</v>
      </c>
      <c r="C4">
        <v>37312</v>
      </c>
      <c r="D4" s="6">
        <v>325602</v>
      </c>
      <c r="F4" s="16"/>
    </row>
    <row r="5" spans="1:6" x14ac:dyDescent="0.25">
      <c r="A5" t="s">
        <v>162</v>
      </c>
      <c r="B5">
        <v>485253</v>
      </c>
      <c r="C5">
        <v>6142</v>
      </c>
      <c r="D5" s="6">
        <v>242397</v>
      </c>
    </row>
    <row r="6" spans="1:6" x14ac:dyDescent="0.25">
      <c r="A6" t="s">
        <v>163</v>
      </c>
      <c r="B6">
        <v>287399</v>
      </c>
      <c r="C6">
        <v>40597</v>
      </c>
      <c r="D6" t="s">
        <v>164</v>
      </c>
    </row>
    <row r="7" spans="1:6" x14ac:dyDescent="0.25">
      <c r="A7" t="s">
        <v>139</v>
      </c>
      <c r="B7">
        <v>266598</v>
      </c>
      <c r="C7">
        <v>7466</v>
      </c>
      <c r="D7" s="6">
        <v>129215</v>
      </c>
    </row>
    <row r="8" spans="1:6" x14ac:dyDescent="0.25">
      <c r="A8" t="s">
        <v>125</v>
      </c>
      <c r="B8">
        <v>241717</v>
      </c>
      <c r="C8">
        <v>27136</v>
      </c>
      <c r="D8" s="6">
        <v>150376</v>
      </c>
    </row>
    <row r="9" spans="1:6" x14ac:dyDescent="0.25">
      <c r="A9" t="s">
        <v>113</v>
      </c>
      <c r="B9">
        <v>235278</v>
      </c>
      <c r="C9">
        <v>33964</v>
      </c>
      <c r="D9" s="6">
        <v>166584</v>
      </c>
    </row>
    <row r="10" spans="1:6" x14ac:dyDescent="0.25">
      <c r="A10" t="s">
        <v>53</v>
      </c>
      <c r="B10">
        <v>199696</v>
      </c>
      <c r="C10">
        <v>5571</v>
      </c>
      <c r="D10" s="6">
        <v>89556</v>
      </c>
    </row>
    <row r="11" spans="1:6" x14ac:dyDescent="0.25">
      <c r="A11" t="s">
        <v>130</v>
      </c>
      <c r="B11">
        <v>186233</v>
      </c>
      <c r="C11">
        <v>8792</v>
      </c>
      <c r="D11" s="6">
        <v>169549</v>
      </c>
    </row>
    <row r="12" spans="1:6" x14ac:dyDescent="0.25">
      <c r="A12" t="s">
        <v>165</v>
      </c>
      <c r="B12">
        <v>173832</v>
      </c>
      <c r="C12">
        <v>8351</v>
      </c>
      <c r="D12" s="6">
        <v>136360</v>
      </c>
    </row>
    <row r="13" spans="1:6" x14ac:dyDescent="0.25">
      <c r="A13" t="s">
        <v>97</v>
      </c>
      <c r="B13">
        <v>171121</v>
      </c>
      <c r="C13">
        <v>4711</v>
      </c>
      <c r="D13" s="6">
        <v>141380</v>
      </c>
    </row>
    <row r="14" spans="1:6" x14ac:dyDescent="0.25">
      <c r="A14" t="s">
        <v>128</v>
      </c>
      <c r="B14">
        <v>154188</v>
      </c>
      <c r="C14">
        <v>29209</v>
      </c>
      <c r="D14" s="6">
        <v>71062</v>
      </c>
    </row>
    <row r="15" spans="1:6" x14ac:dyDescent="0.25">
      <c r="A15" t="s">
        <v>68</v>
      </c>
      <c r="B15">
        <v>138846</v>
      </c>
      <c r="C15">
        <v>2264</v>
      </c>
      <c r="D15" t="s">
        <v>164</v>
      </c>
    </row>
    <row r="16" spans="1:6" x14ac:dyDescent="0.25">
      <c r="A16" t="s">
        <v>50</v>
      </c>
      <c r="B16">
        <v>120102</v>
      </c>
      <c r="C16">
        <v>14053</v>
      </c>
      <c r="D16" s="6">
        <v>88217</v>
      </c>
    </row>
    <row r="17" spans="1:4" x14ac:dyDescent="0.25">
      <c r="A17" t="s">
        <v>79</v>
      </c>
      <c r="B17">
        <v>108317</v>
      </c>
      <c r="C17">
        <v>2172</v>
      </c>
      <c r="D17" s="6">
        <v>35018</v>
      </c>
    </row>
    <row r="18" spans="1:4" x14ac:dyDescent="0.25">
      <c r="A18" t="s">
        <v>81</v>
      </c>
      <c r="B18">
        <v>105283</v>
      </c>
      <c r="C18">
        <v>746</v>
      </c>
      <c r="D18" s="6">
        <v>74524</v>
      </c>
    </row>
    <row r="19" spans="1:4" x14ac:dyDescent="0.25">
      <c r="A19" t="s">
        <v>67</v>
      </c>
      <c r="B19">
        <v>96244</v>
      </c>
      <c r="C19">
        <v>7835</v>
      </c>
      <c r="D19" s="6">
        <v>54833</v>
      </c>
    </row>
    <row r="20" spans="1:4" x14ac:dyDescent="0.25">
      <c r="A20" t="s">
        <v>146</v>
      </c>
      <c r="B20">
        <v>83040</v>
      </c>
      <c r="C20">
        <v>4634</v>
      </c>
      <c r="D20" s="6">
        <v>78341</v>
      </c>
    </row>
    <row r="21" spans="1:4" x14ac:dyDescent="0.25">
      <c r="A21" t="s">
        <v>136</v>
      </c>
      <c r="B21">
        <v>71675</v>
      </c>
      <c r="C21">
        <v>975</v>
      </c>
      <c r="D21" s="6">
        <v>15336</v>
      </c>
    </row>
    <row r="22" spans="1:4" x14ac:dyDescent="0.25">
      <c r="A22" t="s">
        <v>80</v>
      </c>
      <c r="B22">
        <v>70158</v>
      </c>
      <c r="C22">
        <v>57</v>
      </c>
      <c r="D22" s="6">
        <v>45935</v>
      </c>
    </row>
    <row r="23" spans="1:4" x14ac:dyDescent="0.25">
      <c r="A23" t="s">
        <v>94</v>
      </c>
      <c r="B23">
        <v>59348</v>
      </c>
      <c r="C23">
        <v>9606</v>
      </c>
      <c r="D23" s="6">
        <v>16315</v>
      </c>
    </row>
    <row r="24" spans="1:4" x14ac:dyDescent="0.25">
      <c r="A24" t="s">
        <v>7</v>
      </c>
      <c r="B24">
        <v>50879</v>
      </c>
      <c r="C24">
        <v>1080</v>
      </c>
      <c r="D24" s="6">
        <v>26099</v>
      </c>
    </row>
    <row r="25" spans="1:4" x14ac:dyDescent="0.25">
      <c r="A25" t="s">
        <v>133</v>
      </c>
      <c r="B25">
        <v>49453</v>
      </c>
      <c r="C25">
        <v>276</v>
      </c>
      <c r="D25" s="6">
        <v>23880</v>
      </c>
    </row>
    <row r="26" spans="1:4" x14ac:dyDescent="0.25">
      <c r="A26" t="s">
        <v>104</v>
      </c>
      <c r="B26">
        <v>47739</v>
      </c>
      <c r="C26">
        <v>6016</v>
      </c>
      <c r="D26" t="s">
        <v>164</v>
      </c>
    </row>
    <row r="27" spans="1:4" x14ac:dyDescent="0.25">
      <c r="A27" t="s">
        <v>95</v>
      </c>
      <c r="B27">
        <v>45133</v>
      </c>
      <c r="C27">
        <v>4694</v>
      </c>
      <c r="D27" t="s">
        <v>164</v>
      </c>
    </row>
    <row r="28" spans="1:4" x14ac:dyDescent="0.25">
      <c r="A28" t="s">
        <v>64</v>
      </c>
      <c r="B28">
        <v>43378</v>
      </c>
      <c r="C28">
        <v>3642</v>
      </c>
      <c r="D28" s="6">
        <v>4375</v>
      </c>
    </row>
    <row r="29" spans="1:4" x14ac:dyDescent="0.25">
      <c r="A29" t="s">
        <v>69</v>
      </c>
      <c r="B29">
        <v>40719</v>
      </c>
      <c r="C29">
        <v>1308</v>
      </c>
      <c r="D29" s="6">
        <v>16427</v>
      </c>
    </row>
    <row r="30" spans="1:4" x14ac:dyDescent="0.25">
      <c r="A30" t="s">
        <v>71</v>
      </c>
      <c r="B30">
        <v>39376</v>
      </c>
      <c r="C30">
        <v>281</v>
      </c>
      <c r="D30" s="6">
        <v>22275</v>
      </c>
    </row>
    <row r="31" spans="1:4" x14ac:dyDescent="0.25">
      <c r="A31" t="s">
        <v>150</v>
      </c>
      <c r="B31">
        <v>38296</v>
      </c>
      <c r="C31">
        <v>25</v>
      </c>
      <c r="D31" s="6">
        <v>25368</v>
      </c>
    </row>
    <row r="32" spans="1:4" x14ac:dyDescent="0.25">
      <c r="A32" t="s">
        <v>74</v>
      </c>
      <c r="B32">
        <v>35444</v>
      </c>
      <c r="C32">
        <v>1271</v>
      </c>
      <c r="D32" s="6">
        <v>10618</v>
      </c>
    </row>
    <row r="33" spans="1:4" x14ac:dyDescent="0.25">
      <c r="A33" t="s">
        <v>107</v>
      </c>
      <c r="B33">
        <v>34885</v>
      </c>
      <c r="C33">
        <v>1485</v>
      </c>
      <c r="D33" s="6">
        <v>21156</v>
      </c>
    </row>
    <row r="34" spans="1:4" x14ac:dyDescent="0.25">
      <c r="A34" t="s">
        <v>138</v>
      </c>
      <c r="B34">
        <v>33076</v>
      </c>
      <c r="C34">
        <v>1923</v>
      </c>
      <c r="D34" s="6">
        <v>11414</v>
      </c>
    </row>
    <row r="35" spans="1:4" x14ac:dyDescent="0.25">
      <c r="A35" t="s">
        <v>85</v>
      </c>
      <c r="B35">
        <v>32510</v>
      </c>
      <c r="C35">
        <v>269</v>
      </c>
      <c r="D35" s="6">
        <v>21242</v>
      </c>
    </row>
    <row r="36" spans="1:4" x14ac:dyDescent="0.25">
      <c r="A36" t="s">
        <v>134</v>
      </c>
      <c r="B36">
        <v>30972</v>
      </c>
      <c r="C36">
        <v>1661</v>
      </c>
      <c r="D36" s="6">
        <v>28700</v>
      </c>
    </row>
    <row r="37" spans="1:4" x14ac:dyDescent="0.25">
      <c r="A37" t="s">
        <v>98</v>
      </c>
      <c r="B37">
        <v>27856</v>
      </c>
      <c r="C37">
        <v>810</v>
      </c>
      <c r="D37" s="6">
        <v>12412</v>
      </c>
    </row>
    <row r="38" spans="1:4" x14ac:dyDescent="0.25">
      <c r="A38" t="s">
        <v>106</v>
      </c>
      <c r="B38">
        <v>27365</v>
      </c>
      <c r="C38">
        <v>1172</v>
      </c>
      <c r="D38" s="6">
        <v>13196</v>
      </c>
    </row>
    <row r="39" spans="1:4" x14ac:dyDescent="0.25">
      <c r="A39" t="s">
        <v>122</v>
      </c>
      <c r="B39">
        <v>25207</v>
      </c>
      <c r="C39">
        <v>1683</v>
      </c>
      <c r="D39" s="6">
        <v>22698</v>
      </c>
    </row>
    <row r="40" spans="1:4" x14ac:dyDescent="0.25">
      <c r="A40" t="s">
        <v>41</v>
      </c>
      <c r="B40">
        <v>23607</v>
      </c>
      <c r="C40">
        <v>693</v>
      </c>
      <c r="D40" s="6">
        <v>7292</v>
      </c>
    </row>
    <row r="41" spans="1:4" x14ac:dyDescent="0.25">
      <c r="A41" t="s">
        <v>148</v>
      </c>
      <c r="B41">
        <v>22474</v>
      </c>
      <c r="C41">
        <v>1011</v>
      </c>
      <c r="D41" s="6">
        <v>4637</v>
      </c>
    </row>
    <row r="42" spans="1:4" x14ac:dyDescent="0.25">
      <c r="A42" t="s">
        <v>70</v>
      </c>
      <c r="B42">
        <v>20917</v>
      </c>
      <c r="C42">
        <v>369</v>
      </c>
      <c r="D42" s="6">
        <v>2171</v>
      </c>
    </row>
    <row r="43" spans="1:4" x14ac:dyDescent="0.25">
      <c r="A43" t="s">
        <v>108</v>
      </c>
      <c r="B43">
        <v>20604</v>
      </c>
      <c r="C43">
        <v>1334</v>
      </c>
      <c r="D43" s="6">
        <v>14826</v>
      </c>
    </row>
    <row r="44" spans="1:4" x14ac:dyDescent="0.25">
      <c r="A44" t="s">
        <v>63</v>
      </c>
      <c r="B44">
        <v>20129</v>
      </c>
      <c r="C44">
        <v>539</v>
      </c>
      <c r="D44" s="6">
        <v>12158</v>
      </c>
    </row>
    <row r="45" spans="1:4" x14ac:dyDescent="0.25">
      <c r="A45" t="s">
        <v>124</v>
      </c>
      <c r="B45">
        <v>18089</v>
      </c>
      <c r="C45">
        <v>298</v>
      </c>
      <c r="D45" s="6">
        <v>15137</v>
      </c>
    </row>
    <row r="46" spans="1:4" x14ac:dyDescent="0.25">
      <c r="A46" t="s">
        <v>78</v>
      </c>
      <c r="B46">
        <v>17486</v>
      </c>
      <c r="C46">
        <v>81</v>
      </c>
      <c r="D46" s="6">
        <v>3793</v>
      </c>
    </row>
    <row r="47" spans="1:4" x14ac:dyDescent="0.25">
      <c r="A47" t="s">
        <v>154</v>
      </c>
      <c r="B47">
        <v>17174</v>
      </c>
      <c r="C47">
        <v>916</v>
      </c>
      <c r="D47" s="6">
        <v>15148</v>
      </c>
    </row>
    <row r="48" spans="1:4" x14ac:dyDescent="0.25">
      <c r="A48" t="s">
        <v>92</v>
      </c>
      <c r="B48">
        <v>16968</v>
      </c>
      <c r="C48">
        <v>672</v>
      </c>
      <c r="D48" s="6">
        <v>15839</v>
      </c>
    </row>
    <row r="49" spans="1:4" x14ac:dyDescent="0.25">
      <c r="A49" t="s">
        <v>52</v>
      </c>
      <c r="B49">
        <v>16854</v>
      </c>
      <c r="C49">
        <v>398</v>
      </c>
      <c r="D49" s="6">
        <v>10401</v>
      </c>
    </row>
    <row r="50" spans="1:4" x14ac:dyDescent="0.25">
      <c r="A50" t="s">
        <v>72</v>
      </c>
      <c r="B50">
        <v>15417</v>
      </c>
      <c r="C50">
        <v>27</v>
      </c>
      <c r="D50" s="6">
        <v>10326</v>
      </c>
    </row>
    <row r="51" spans="1:4" x14ac:dyDescent="0.25">
      <c r="A51" t="s">
        <v>166</v>
      </c>
      <c r="B51">
        <v>13949</v>
      </c>
      <c r="C51">
        <v>475</v>
      </c>
      <c r="D51" s="6">
        <v>2159</v>
      </c>
    </row>
    <row r="52" spans="1:4" x14ac:dyDescent="0.25">
      <c r="A52" t="s">
        <v>83</v>
      </c>
      <c r="B52">
        <v>13481</v>
      </c>
      <c r="C52">
        <v>370</v>
      </c>
      <c r="D52" s="6">
        <v>5572</v>
      </c>
    </row>
    <row r="53" spans="1:4" x14ac:dyDescent="0.25">
      <c r="A53" t="s">
        <v>91</v>
      </c>
      <c r="B53">
        <v>13325</v>
      </c>
      <c r="C53">
        <v>211</v>
      </c>
      <c r="D53" s="6">
        <v>4099</v>
      </c>
    </row>
    <row r="54" spans="1:4" x14ac:dyDescent="0.25">
      <c r="A54" t="s">
        <v>114</v>
      </c>
      <c r="B54">
        <v>13074</v>
      </c>
      <c r="C54">
        <v>58</v>
      </c>
      <c r="D54" s="6">
        <v>7737</v>
      </c>
    </row>
    <row r="55" spans="1:4" x14ac:dyDescent="0.25">
      <c r="A55" t="s">
        <v>17</v>
      </c>
      <c r="B55">
        <v>12801</v>
      </c>
      <c r="C55">
        <v>361</v>
      </c>
      <c r="D55" s="6">
        <v>4040</v>
      </c>
    </row>
    <row r="56" spans="1:4" x14ac:dyDescent="0.25">
      <c r="A56" t="s">
        <v>131</v>
      </c>
      <c r="B56">
        <v>11962</v>
      </c>
      <c r="C56">
        <v>593</v>
      </c>
      <c r="D56" s="6">
        <v>10792</v>
      </c>
    </row>
    <row r="57" spans="1:4" x14ac:dyDescent="0.25">
      <c r="A57" t="s">
        <v>101</v>
      </c>
      <c r="B57">
        <v>11896</v>
      </c>
      <c r="C57">
        <v>250</v>
      </c>
      <c r="D57" s="6">
        <v>11348</v>
      </c>
    </row>
    <row r="58" spans="1:4" x14ac:dyDescent="0.25">
      <c r="A58" t="s">
        <v>167</v>
      </c>
      <c r="B58">
        <v>11852</v>
      </c>
      <c r="C58">
        <v>274</v>
      </c>
      <c r="D58" s="6">
        <v>10589</v>
      </c>
    </row>
    <row r="59" spans="1:4" x14ac:dyDescent="0.25">
      <c r="A59" t="s">
        <v>32</v>
      </c>
      <c r="B59">
        <v>10265</v>
      </c>
      <c r="C59">
        <v>715</v>
      </c>
      <c r="D59" s="6">
        <v>6799</v>
      </c>
    </row>
    <row r="60" spans="1:4" x14ac:dyDescent="0.25">
      <c r="A60" t="s">
        <v>36</v>
      </c>
      <c r="B60">
        <v>9910</v>
      </c>
      <c r="C60">
        <v>48</v>
      </c>
      <c r="D60" s="6">
        <v>3645</v>
      </c>
    </row>
    <row r="61" spans="1:4" x14ac:dyDescent="0.25">
      <c r="A61" t="s">
        <v>168</v>
      </c>
      <c r="B61">
        <v>9807</v>
      </c>
      <c r="C61">
        <v>353</v>
      </c>
      <c r="D61" s="6">
        <v>5738</v>
      </c>
    </row>
    <row r="62" spans="1:4" x14ac:dyDescent="0.25">
      <c r="A62" t="s">
        <v>169</v>
      </c>
      <c r="B62">
        <v>9697</v>
      </c>
      <c r="C62">
        <v>328</v>
      </c>
      <c r="D62" s="6">
        <v>6994</v>
      </c>
    </row>
    <row r="63" spans="1:4" x14ac:dyDescent="0.25">
      <c r="A63" t="s">
        <v>105</v>
      </c>
      <c r="B63">
        <v>8563</v>
      </c>
      <c r="C63">
        <v>239</v>
      </c>
      <c r="D63" s="6">
        <v>8138</v>
      </c>
    </row>
    <row r="64" spans="1:4" x14ac:dyDescent="0.25">
      <c r="A64" t="s">
        <v>152</v>
      </c>
      <c r="B64">
        <v>8336</v>
      </c>
      <c r="C64">
        <v>117</v>
      </c>
      <c r="D64" s="6">
        <v>6975</v>
      </c>
    </row>
    <row r="65" spans="1:4" x14ac:dyDescent="0.25">
      <c r="A65" t="s">
        <v>88</v>
      </c>
      <c r="B65">
        <v>8302</v>
      </c>
      <c r="C65">
        <v>208</v>
      </c>
      <c r="D65" s="6">
        <v>7408</v>
      </c>
    </row>
    <row r="66" spans="1:4" x14ac:dyDescent="0.25">
      <c r="A66" t="s">
        <v>38</v>
      </c>
      <c r="B66">
        <v>8060</v>
      </c>
      <c r="C66">
        <v>206</v>
      </c>
      <c r="D66" s="6">
        <v>4748</v>
      </c>
    </row>
    <row r="67" spans="1:4" x14ac:dyDescent="0.25">
      <c r="A67" t="s">
        <v>93</v>
      </c>
      <c r="B67">
        <v>7876</v>
      </c>
      <c r="C67">
        <v>93</v>
      </c>
      <c r="D67" s="6">
        <v>4377</v>
      </c>
    </row>
    <row r="68" spans="1:4" x14ac:dyDescent="0.25">
      <c r="A68" t="s">
        <v>55</v>
      </c>
      <c r="B68">
        <v>7502</v>
      </c>
      <c r="C68">
        <v>267</v>
      </c>
      <c r="D68" s="6">
        <v>1323</v>
      </c>
    </row>
    <row r="69" spans="1:4" x14ac:dyDescent="0.25">
      <c r="A69" t="s">
        <v>145</v>
      </c>
      <c r="B69">
        <v>7263</v>
      </c>
      <c r="C69">
        <v>102</v>
      </c>
      <c r="D69" s="6">
        <v>6706</v>
      </c>
    </row>
    <row r="70" spans="1:4" x14ac:dyDescent="0.25">
      <c r="A70" t="s">
        <v>127</v>
      </c>
      <c r="B70">
        <v>7001</v>
      </c>
      <c r="C70">
        <v>323</v>
      </c>
      <c r="D70" s="6">
        <v>5800</v>
      </c>
    </row>
    <row r="71" spans="1:4" x14ac:dyDescent="0.25">
      <c r="A71" t="s">
        <v>57</v>
      </c>
      <c r="B71">
        <v>6450</v>
      </c>
      <c r="C71">
        <v>262</v>
      </c>
      <c r="D71">
        <v>740</v>
      </c>
    </row>
    <row r="72" spans="1:4" x14ac:dyDescent="0.25">
      <c r="A72" t="s">
        <v>82</v>
      </c>
      <c r="B72">
        <v>6242</v>
      </c>
      <c r="C72">
        <v>372</v>
      </c>
      <c r="D72" s="6">
        <v>2059</v>
      </c>
    </row>
    <row r="73" spans="1:4" x14ac:dyDescent="0.25">
      <c r="A73" t="s">
        <v>44</v>
      </c>
      <c r="B73">
        <v>5046</v>
      </c>
      <c r="C73">
        <v>142</v>
      </c>
      <c r="D73">
        <v>850</v>
      </c>
    </row>
    <row r="74" spans="1:4" x14ac:dyDescent="0.25">
      <c r="A74" t="s">
        <v>96</v>
      </c>
      <c r="B74">
        <v>4609</v>
      </c>
      <c r="C74">
        <v>48</v>
      </c>
      <c r="D74" s="6">
        <v>2763</v>
      </c>
    </row>
    <row r="75" spans="1:4" x14ac:dyDescent="0.25">
      <c r="A75" t="s">
        <v>99</v>
      </c>
      <c r="B75">
        <v>4448</v>
      </c>
      <c r="C75">
        <v>18</v>
      </c>
      <c r="D75" s="6">
        <v>3357</v>
      </c>
    </row>
    <row r="76" spans="1:4" x14ac:dyDescent="0.25">
      <c r="A76" t="s">
        <v>19</v>
      </c>
      <c r="B76">
        <v>4427</v>
      </c>
      <c r="C76">
        <v>51</v>
      </c>
      <c r="D76" s="6">
        <v>2699</v>
      </c>
    </row>
    <row r="77" spans="1:4" x14ac:dyDescent="0.25">
      <c r="A77" t="s">
        <v>73</v>
      </c>
      <c r="B77">
        <v>4278</v>
      </c>
      <c r="C77">
        <v>31</v>
      </c>
      <c r="D77" s="6">
        <v>2013</v>
      </c>
    </row>
    <row r="78" spans="1:4" x14ac:dyDescent="0.25">
      <c r="A78" t="s">
        <v>37</v>
      </c>
      <c r="B78">
        <v>4216</v>
      </c>
      <c r="C78">
        <v>23</v>
      </c>
      <c r="D78" s="6">
        <v>2918</v>
      </c>
    </row>
    <row r="79" spans="1:4" x14ac:dyDescent="0.25">
      <c r="A79" t="s">
        <v>170</v>
      </c>
      <c r="B79">
        <v>4106</v>
      </c>
      <c r="C79">
        <v>88</v>
      </c>
      <c r="D79">
        <v>537</v>
      </c>
    </row>
    <row r="80" spans="1:4" x14ac:dyDescent="0.25">
      <c r="A80" t="s">
        <v>118</v>
      </c>
      <c r="B80">
        <v>4040</v>
      </c>
      <c r="C80">
        <v>110</v>
      </c>
      <c r="D80" s="6">
        <v>3901</v>
      </c>
    </row>
    <row r="81" spans="1:4" x14ac:dyDescent="0.25">
      <c r="A81" t="s">
        <v>121</v>
      </c>
      <c r="B81">
        <v>4017</v>
      </c>
      <c r="C81">
        <v>550</v>
      </c>
      <c r="D81" s="6">
        <v>2324</v>
      </c>
    </row>
    <row r="82" spans="1:4" x14ac:dyDescent="0.25">
      <c r="A82" t="s">
        <v>171</v>
      </c>
      <c r="B82">
        <v>3881</v>
      </c>
      <c r="C82">
        <v>38</v>
      </c>
      <c r="D82" s="6">
        <v>1869</v>
      </c>
    </row>
    <row r="83" spans="1:4" x14ac:dyDescent="0.25">
      <c r="A83" t="s">
        <v>143</v>
      </c>
      <c r="B83">
        <v>3762</v>
      </c>
      <c r="C83">
        <v>14</v>
      </c>
      <c r="D83">
        <v>488</v>
      </c>
    </row>
    <row r="84" spans="1:4" x14ac:dyDescent="0.25">
      <c r="A84" t="s">
        <v>58</v>
      </c>
      <c r="B84">
        <v>3538</v>
      </c>
      <c r="C84">
        <v>54</v>
      </c>
      <c r="D84">
        <v>24</v>
      </c>
    </row>
    <row r="85" spans="1:4" x14ac:dyDescent="0.25">
      <c r="A85" t="s">
        <v>46</v>
      </c>
      <c r="B85">
        <v>3191</v>
      </c>
      <c r="C85">
        <v>58</v>
      </c>
      <c r="D85" s="6">
        <v>1413</v>
      </c>
    </row>
    <row r="86" spans="1:4" x14ac:dyDescent="0.25">
      <c r="A86" t="s">
        <v>172</v>
      </c>
      <c r="B86">
        <v>3152</v>
      </c>
      <c r="C86">
        <v>156</v>
      </c>
      <c r="D86" s="6">
        <v>1653</v>
      </c>
    </row>
    <row r="87" spans="1:4" x14ac:dyDescent="0.25">
      <c r="A87" t="s">
        <v>144</v>
      </c>
      <c r="B87">
        <v>3119</v>
      </c>
      <c r="C87">
        <v>58</v>
      </c>
      <c r="D87" s="6">
        <v>2973</v>
      </c>
    </row>
    <row r="88" spans="1:4" x14ac:dyDescent="0.25">
      <c r="A88" t="s">
        <v>35</v>
      </c>
      <c r="B88">
        <v>3101</v>
      </c>
      <c r="C88">
        <v>21</v>
      </c>
      <c r="D88">
        <v>833</v>
      </c>
    </row>
    <row r="89" spans="1:4" x14ac:dyDescent="0.25">
      <c r="A89" t="s">
        <v>119</v>
      </c>
      <c r="B89">
        <v>3049</v>
      </c>
      <c r="C89">
        <v>182</v>
      </c>
      <c r="D89" s="6">
        <v>1374</v>
      </c>
    </row>
    <row r="90" spans="1:4" x14ac:dyDescent="0.25">
      <c r="A90" t="s">
        <v>29</v>
      </c>
      <c r="B90">
        <v>2862</v>
      </c>
      <c r="C90">
        <v>85</v>
      </c>
      <c r="D90">
        <v>894</v>
      </c>
    </row>
    <row r="91" spans="1:4" x14ac:dyDescent="0.25">
      <c r="A91" t="s">
        <v>132</v>
      </c>
      <c r="B91">
        <v>2810</v>
      </c>
      <c r="C91">
        <v>164</v>
      </c>
      <c r="D91" s="6">
        <v>1587</v>
      </c>
    </row>
    <row r="92" spans="1:4" x14ac:dyDescent="0.25">
      <c r="A92" t="s">
        <v>173</v>
      </c>
      <c r="B92">
        <v>2704</v>
      </c>
      <c r="C92">
        <v>160</v>
      </c>
      <c r="D92" s="6">
        <v>2023</v>
      </c>
    </row>
    <row r="93" spans="1:4" x14ac:dyDescent="0.25">
      <c r="A93" t="s">
        <v>174</v>
      </c>
      <c r="B93">
        <v>2473</v>
      </c>
      <c r="C93">
        <v>22</v>
      </c>
      <c r="D93">
        <v>487</v>
      </c>
    </row>
    <row r="94" spans="1:4" x14ac:dyDescent="0.25">
      <c r="A94" t="s">
        <v>75</v>
      </c>
      <c r="B94">
        <v>2368</v>
      </c>
      <c r="C94">
        <v>84</v>
      </c>
      <c r="D94">
        <v>470</v>
      </c>
    </row>
    <row r="95" spans="1:4" x14ac:dyDescent="0.25">
      <c r="A95" t="s">
        <v>120</v>
      </c>
      <c r="B95">
        <v>2247</v>
      </c>
      <c r="C95">
        <v>104</v>
      </c>
      <c r="D95" s="6">
        <v>2128</v>
      </c>
    </row>
    <row r="96" spans="1:4" x14ac:dyDescent="0.25">
      <c r="A96" t="s">
        <v>61</v>
      </c>
      <c r="B96">
        <v>2200</v>
      </c>
      <c r="C96">
        <v>83</v>
      </c>
      <c r="D96" s="6">
        <v>1868</v>
      </c>
    </row>
    <row r="97" spans="1:4" x14ac:dyDescent="0.25">
      <c r="A97" t="s">
        <v>34</v>
      </c>
      <c r="B97">
        <v>2156</v>
      </c>
      <c r="C97">
        <v>27</v>
      </c>
      <c r="D97">
        <v>361</v>
      </c>
    </row>
    <row r="98" spans="1:4" x14ac:dyDescent="0.25">
      <c r="A98" t="s">
        <v>115</v>
      </c>
      <c r="B98">
        <v>2055</v>
      </c>
      <c r="C98">
        <v>24</v>
      </c>
      <c r="D98" s="6">
        <v>1483</v>
      </c>
    </row>
    <row r="99" spans="1:4" x14ac:dyDescent="0.25">
      <c r="A99" t="s">
        <v>126</v>
      </c>
      <c r="B99">
        <v>1940</v>
      </c>
      <c r="C99">
        <v>69</v>
      </c>
      <c r="D99" s="6">
        <v>1683</v>
      </c>
    </row>
    <row r="100" spans="1:4" x14ac:dyDescent="0.25">
      <c r="A100" t="s">
        <v>141</v>
      </c>
      <c r="B100">
        <v>1916</v>
      </c>
      <c r="C100">
        <v>8</v>
      </c>
      <c r="D100">
        <v>925</v>
      </c>
    </row>
    <row r="101" spans="1:4" x14ac:dyDescent="0.25">
      <c r="A101" t="s">
        <v>140</v>
      </c>
      <c r="B101">
        <v>1857</v>
      </c>
      <c r="C101">
        <v>11</v>
      </c>
      <c r="D101" s="6">
        <v>1057</v>
      </c>
    </row>
    <row r="102" spans="1:4" x14ac:dyDescent="0.25">
      <c r="A102" t="s">
        <v>5</v>
      </c>
      <c r="B102">
        <v>1850</v>
      </c>
      <c r="C102">
        <v>5</v>
      </c>
      <c r="D102">
        <v>38</v>
      </c>
    </row>
    <row r="103" spans="1:4" x14ac:dyDescent="0.25">
      <c r="A103" t="s">
        <v>123</v>
      </c>
      <c r="B103">
        <v>1807</v>
      </c>
      <c r="C103">
        <v>10</v>
      </c>
      <c r="D103" s="6">
        <v>1794</v>
      </c>
    </row>
    <row r="104" spans="1:4" x14ac:dyDescent="0.25">
      <c r="A104" t="s">
        <v>117</v>
      </c>
      <c r="B104">
        <v>1720</v>
      </c>
      <c r="C104">
        <v>71</v>
      </c>
      <c r="D104" s="6">
        <v>1331</v>
      </c>
    </row>
    <row r="105" spans="1:4" x14ac:dyDescent="0.25">
      <c r="A105" t="s">
        <v>10</v>
      </c>
      <c r="B105">
        <v>1604</v>
      </c>
      <c r="C105">
        <v>19</v>
      </c>
      <c r="D105">
        <v>15</v>
      </c>
    </row>
    <row r="106" spans="1:4" x14ac:dyDescent="0.25">
      <c r="A106" t="s">
        <v>22</v>
      </c>
      <c r="B106">
        <v>1547</v>
      </c>
      <c r="C106">
        <v>92</v>
      </c>
      <c r="D106">
        <v>916</v>
      </c>
    </row>
    <row r="107" spans="1:4" x14ac:dyDescent="0.25">
      <c r="A107" t="s">
        <v>102</v>
      </c>
      <c r="B107">
        <v>1530</v>
      </c>
      <c r="C107">
        <v>28</v>
      </c>
      <c r="D107" s="6">
        <v>1396</v>
      </c>
    </row>
    <row r="108" spans="1:4" x14ac:dyDescent="0.25">
      <c r="A108" t="s">
        <v>103</v>
      </c>
      <c r="B108">
        <v>1485</v>
      </c>
      <c r="C108">
        <v>109</v>
      </c>
      <c r="D108" s="6">
        <v>1359</v>
      </c>
    </row>
    <row r="109" spans="1:4" x14ac:dyDescent="0.25">
      <c r="A109" t="s">
        <v>27</v>
      </c>
      <c r="B109">
        <v>1389</v>
      </c>
      <c r="C109">
        <v>12</v>
      </c>
      <c r="D109">
        <v>153</v>
      </c>
    </row>
    <row r="110" spans="1:4" x14ac:dyDescent="0.25">
      <c r="A110" t="s">
        <v>86</v>
      </c>
      <c r="B110">
        <v>1350</v>
      </c>
      <c r="C110">
        <v>30</v>
      </c>
      <c r="D110">
        <v>779</v>
      </c>
    </row>
    <row r="111" spans="1:4" x14ac:dyDescent="0.25">
      <c r="A111" t="s">
        <v>60</v>
      </c>
      <c r="B111">
        <v>1342</v>
      </c>
      <c r="C111">
        <v>10</v>
      </c>
      <c r="D111">
        <v>712</v>
      </c>
    </row>
    <row r="112" spans="1:4" x14ac:dyDescent="0.25">
      <c r="A112" t="s">
        <v>28</v>
      </c>
      <c r="B112">
        <v>1306</v>
      </c>
      <c r="C112">
        <v>12</v>
      </c>
      <c r="D112">
        <v>200</v>
      </c>
    </row>
    <row r="113" spans="1:4" x14ac:dyDescent="0.25">
      <c r="A113" t="s">
        <v>89</v>
      </c>
      <c r="B113">
        <v>1263</v>
      </c>
      <c r="C113">
        <v>34</v>
      </c>
      <c r="D113">
        <v>945</v>
      </c>
    </row>
    <row r="114" spans="1:4" x14ac:dyDescent="0.25">
      <c r="A114" t="s">
        <v>175</v>
      </c>
      <c r="B114">
        <v>1263</v>
      </c>
      <c r="C114">
        <v>31</v>
      </c>
      <c r="D114">
        <v>912</v>
      </c>
    </row>
    <row r="115" spans="1:4" x14ac:dyDescent="0.25">
      <c r="A115" t="s">
        <v>8</v>
      </c>
      <c r="B115">
        <v>1200</v>
      </c>
      <c r="C115">
        <v>10</v>
      </c>
      <c r="D115">
        <v>912</v>
      </c>
    </row>
    <row r="116" spans="1:4" x14ac:dyDescent="0.25">
      <c r="A116" t="s">
        <v>153</v>
      </c>
      <c r="B116">
        <v>1154</v>
      </c>
      <c r="C116">
        <v>22</v>
      </c>
      <c r="D116" s="6">
        <v>1132</v>
      </c>
    </row>
    <row r="117" spans="1:4" x14ac:dyDescent="0.25">
      <c r="A117" t="s">
        <v>45</v>
      </c>
      <c r="B117">
        <v>1145</v>
      </c>
      <c r="C117">
        <v>11</v>
      </c>
      <c r="D117">
        <v>603</v>
      </c>
    </row>
    <row r="118" spans="1:4" x14ac:dyDescent="0.25">
      <c r="A118" t="s">
        <v>51</v>
      </c>
      <c r="B118">
        <v>1118</v>
      </c>
      <c r="C118">
        <v>46</v>
      </c>
      <c r="D118">
        <v>370</v>
      </c>
    </row>
    <row r="119" spans="1:4" x14ac:dyDescent="0.25">
      <c r="A119" t="s">
        <v>176</v>
      </c>
      <c r="B119">
        <v>1108</v>
      </c>
      <c r="C119">
        <v>4</v>
      </c>
      <c r="D119" s="6">
        <v>1049</v>
      </c>
    </row>
    <row r="120" spans="1:4" x14ac:dyDescent="0.25">
      <c r="A120" t="s">
        <v>24</v>
      </c>
      <c r="B120">
        <v>1104</v>
      </c>
      <c r="C120">
        <v>59</v>
      </c>
      <c r="D120">
        <v>119</v>
      </c>
    </row>
    <row r="121" spans="1:4" x14ac:dyDescent="0.25">
      <c r="A121" t="s">
        <v>177</v>
      </c>
      <c r="B121">
        <v>1102</v>
      </c>
      <c r="C121">
        <v>1</v>
      </c>
      <c r="D121">
        <v>53</v>
      </c>
    </row>
    <row r="122" spans="1:4" x14ac:dyDescent="0.25">
      <c r="A122" t="s">
        <v>21</v>
      </c>
      <c r="B122">
        <v>1094</v>
      </c>
      <c r="C122">
        <v>9</v>
      </c>
      <c r="D122">
        <v>254</v>
      </c>
    </row>
    <row r="123" spans="1:4" x14ac:dyDescent="0.25">
      <c r="A123" t="s">
        <v>109</v>
      </c>
      <c r="B123">
        <v>1089</v>
      </c>
      <c r="C123">
        <v>26</v>
      </c>
      <c r="D123">
        <v>794</v>
      </c>
    </row>
    <row r="124" spans="1:4" x14ac:dyDescent="0.25">
      <c r="A124" t="s">
        <v>76</v>
      </c>
      <c r="B124">
        <v>1087</v>
      </c>
      <c r="C124">
        <v>49</v>
      </c>
      <c r="D124">
        <v>982</v>
      </c>
    </row>
    <row r="125" spans="1:4" x14ac:dyDescent="0.25">
      <c r="A125" t="s">
        <v>178</v>
      </c>
      <c r="B125">
        <v>1081</v>
      </c>
      <c r="C125">
        <v>0</v>
      </c>
      <c r="D125">
        <v>0</v>
      </c>
    </row>
    <row r="126" spans="1:4" x14ac:dyDescent="0.25">
      <c r="A126" t="s">
        <v>20</v>
      </c>
      <c r="B126">
        <v>1001</v>
      </c>
      <c r="C126">
        <v>49</v>
      </c>
      <c r="D126">
        <v>11</v>
      </c>
    </row>
    <row r="127" spans="1:4" x14ac:dyDescent="0.25">
      <c r="A127" t="s">
        <v>16</v>
      </c>
      <c r="B127">
        <v>973</v>
      </c>
      <c r="C127">
        <v>65</v>
      </c>
      <c r="D127">
        <v>867</v>
      </c>
    </row>
    <row r="128" spans="1:4" x14ac:dyDescent="0.25">
      <c r="A128" t="s">
        <v>135</v>
      </c>
      <c r="B128">
        <v>970</v>
      </c>
      <c r="C128">
        <v>18</v>
      </c>
      <c r="D128">
        <v>807</v>
      </c>
    </row>
    <row r="129" spans="1:4" x14ac:dyDescent="0.25">
      <c r="A129" t="s">
        <v>3</v>
      </c>
      <c r="B129">
        <v>890</v>
      </c>
      <c r="C129">
        <v>53</v>
      </c>
      <c r="D129">
        <v>765</v>
      </c>
    </row>
    <row r="130" spans="1:4" x14ac:dyDescent="0.25">
      <c r="A130" t="s">
        <v>90</v>
      </c>
      <c r="B130">
        <v>852</v>
      </c>
      <c r="C130">
        <v>51</v>
      </c>
      <c r="D130">
        <v>751</v>
      </c>
    </row>
    <row r="131" spans="1:4" x14ac:dyDescent="0.25">
      <c r="A131" t="s">
        <v>48</v>
      </c>
      <c r="B131">
        <v>845</v>
      </c>
      <c r="C131">
        <v>23</v>
      </c>
      <c r="D131">
        <v>726</v>
      </c>
    </row>
    <row r="132" spans="1:4" x14ac:dyDescent="0.25">
      <c r="A132" t="s">
        <v>13</v>
      </c>
      <c r="B132">
        <v>839</v>
      </c>
      <c r="C132">
        <v>70</v>
      </c>
      <c r="D132">
        <v>685</v>
      </c>
    </row>
    <row r="133" spans="1:4" x14ac:dyDescent="0.25">
      <c r="A133" t="s">
        <v>84</v>
      </c>
      <c r="B133">
        <v>831</v>
      </c>
      <c r="C133">
        <v>9</v>
      </c>
      <c r="D133">
        <v>627</v>
      </c>
    </row>
    <row r="134" spans="1:4" x14ac:dyDescent="0.25">
      <c r="A134" t="s">
        <v>129</v>
      </c>
      <c r="B134">
        <v>812</v>
      </c>
      <c r="C134">
        <v>13</v>
      </c>
      <c r="D134">
        <v>683</v>
      </c>
    </row>
    <row r="135" spans="1:4" x14ac:dyDescent="0.25">
      <c r="A135" t="s">
        <v>179</v>
      </c>
      <c r="B135">
        <v>712</v>
      </c>
      <c r="C135">
        <v>14</v>
      </c>
      <c r="D135">
        <v>653</v>
      </c>
    </row>
    <row r="136" spans="1:4" x14ac:dyDescent="0.25">
      <c r="A136" t="s">
        <v>180</v>
      </c>
      <c r="B136">
        <v>704</v>
      </c>
      <c r="C136">
        <v>27</v>
      </c>
      <c r="D136">
        <v>167</v>
      </c>
    </row>
    <row r="137" spans="1:4" x14ac:dyDescent="0.25">
      <c r="A137" t="s">
        <v>100</v>
      </c>
      <c r="B137">
        <v>687</v>
      </c>
      <c r="C137">
        <v>42</v>
      </c>
      <c r="D137">
        <v>478</v>
      </c>
    </row>
    <row r="138" spans="1:4" x14ac:dyDescent="0.25">
      <c r="A138" t="s">
        <v>39</v>
      </c>
      <c r="B138">
        <v>683</v>
      </c>
      <c r="C138">
        <v>22</v>
      </c>
      <c r="D138">
        <v>210</v>
      </c>
    </row>
    <row r="139" spans="1:4" x14ac:dyDescent="0.25">
      <c r="A139" t="s">
        <v>6</v>
      </c>
      <c r="B139">
        <v>646</v>
      </c>
      <c r="C139">
        <v>0</v>
      </c>
      <c r="D139">
        <v>103</v>
      </c>
    </row>
    <row r="140" spans="1:4" x14ac:dyDescent="0.25">
      <c r="A140" t="s">
        <v>111</v>
      </c>
      <c r="B140">
        <v>630</v>
      </c>
      <c r="C140">
        <v>9</v>
      </c>
      <c r="D140">
        <v>596</v>
      </c>
    </row>
    <row r="141" spans="1:4" x14ac:dyDescent="0.25">
      <c r="A141" t="s">
        <v>59</v>
      </c>
      <c r="B141">
        <v>598</v>
      </c>
      <c r="C141">
        <v>10</v>
      </c>
      <c r="D141">
        <v>405</v>
      </c>
    </row>
    <row r="142" spans="1:4" x14ac:dyDescent="0.25">
      <c r="A142" t="s">
        <v>181</v>
      </c>
      <c r="B142">
        <v>567</v>
      </c>
      <c r="C142">
        <v>5</v>
      </c>
      <c r="D142">
        <v>266</v>
      </c>
    </row>
    <row r="143" spans="1:4" x14ac:dyDescent="0.25">
      <c r="A143" t="s">
        <v>182</v>
      </c>
      <c r="B143">
        <v>513</v>
      </c>
      <c r="C143">
        <v>12</v>
      </c>
      <c r="D143">
        <v>68</v>
      </c>
    </row>
    <row r="144" spans="1:4" x14ac:dyDescent="0.25">
      <c r="A144" t="s">
        <v>183</v>
      </c>
      <c r="B144">
        <v>509</v>
      </c>
      <c r="C144">
        <v>21</v>
      </c>
      <c r="D144">
        <v>183</v>
      </c>
    </row>
    <row r="145" spans="1:4" x14ac:dyDescent="0.25">
      <c r="A145" t="s">
        <v>14</v>
      </c>
      <c r="B145">
        <v>497</v>
      </c>
      <c r="C145">
        <v>13</v>
      </c>
      <c r="D145">
        <v>251</v>
      </c>
    </row>
    <row r="146" spans="1:4" x14ac:dyDescent="0.25">
      <c r="A146" t="s">
        <v>77</v>
      </c>
      <c r="B146">
        <v>496</v>
      </c>
      <c r="C146">
        <v>112</v>
      </c>
      <c r="D146">
        <v>23</v>
      </c>
    </row>
    <row r="147" spans="1:4" x14ac:dyDescent="0.25">
      <c r="A147" t="s">
        <v>184</v>
      </c>
      <c r="B147">
        <v>473</v>
      </c>
      <c r="C147">
        <v>3</v>
      </c>
      <c r="D147">
        <v>404</v>
      </c>
    </row>
    <row r="148" spans="1:4" x14ac:dyDescent="0.25">
      <c r="A148" t="s">
        <v>18</v>
      </c>
      <c r="B148">
        <v>451</v>
      </c>
      <c r="C148">
        <v>2</v>
      </c>
      <c r="D148">
        <v>297</v>
      </c>
    </row>
    <row r="149" spans="1:4" x14ac:dyDescent="0.25">
      <c r="A149" t="s">
        <v>26</v>
      </c>
      <c r="B149">
        <v>443</v>
      </c>
      <c r="C149">
        <v>4</v>
      </c>
      <c r="D149">
        <v>55</v>
      </c>
    </row>
    <row r="150" spans="1:4" x14ac:dyDescent="0.25">
      <c r="A150" t="s">
        <v>23</v>
      </c>
      <c r="B150">
        <v>433</v>
      </c>
      <c r="C150">
        <v>2</v>
      </c>
      <c r="D150">
        <v>131</v>
      </c>
    </row>
    <row r="151" spans="1:4" x14ac:dyDescent="0.25">
      <c r="A151" t="s">
        <v>185</v>
      </c>
      <c r="B151">
        <v>443</v>
      </c>
      <c r="C151">
        <v>7</v>
      </c>
      <c r="D151">
        <v>430</v>
      </c>
    </row>
    <row r="152" spans="1:4" x14ac:dyDescent="0.25">
      <c r="A152" t="s">
        <v>187</v>
      </c>
      <c r="B152">
        <v>430</v>
      </c>
      <c r="C152">
        <v>24</v>
      </c>
      <c r="D152">
        <v>64</v>
      </c>
    </row>
    <row r="153" spans="1:4" x14ac:dyDescent="0.25">
      <c r="A153" t="s">
        <v>186</v>
      </c>
      <c r="B153">
        <v>429</v>
      </c>
      <c r="C153">
        <v>9</v>
      </c>
      <c r="D153">
        <v>357</v>
      </c>
    </row>
    <row r="154" spans="1:4" x14ac:dyDescent="0.25">
      <c r="A154" t="s">
        <v>30</v>
      </c>
      <c r="B154">
        <v>370</v>
      </c>
      <c r="C154">
        <v>30</v>
      </c>
      <c r="D154">
        <v>195</v>
      </c>
    </row>
    <row r="155" spans="1:4" x14ac:dyDescent="0.25">
      <c r="A155" t="s">
        <v>25</v>
      </c>
      <c r="B155">
        <v>337</v>
      </c>
      <c r="C155">
        <v>10</v>
      </c>
      <c r="D155">
        <v>324</v>
      </c>
    </row>
    <row r="156" spans="1:4" x14ac:dyDescent="0.25">
      <c r="A156" t="s">
        <v>188</v>
      </c>
      <c r="B156">
        <v>336</v>
      </c>
      <c r="C156">
        <v>24</v>
      </c>
      <c r="D156">
        <v>312</v>
      </c>
    </row>
    <row r="157" spans="1:4" x14ac:dyDescent="0.25">
      <c r="A157" t="s">
        <v>11</v>
      </c>
      <c r="B157">
        <v>340</v>
      </c>
      <c r="C157">
        <v>3</v>
      </c>
      <c r="D157">
        <v>229</v>
      </c>
    </row>
    <row r="158" spans="1:4" x14ac:dyDescent="0.25">
      <c r="A158" t="s">
        <v>189</v>
      </c>
      <c r="B158">
        <v>332</v>
      </c>
      <c r="C158">
        <v>0</v>
      </c>
      <c r="D158">
        <v>316</v>
      </c>
    </row>
    <row r="159" spans="1:4" x14ac:dyDescent="0.25">
      <c r="A159" t="s">
        <v>112</v>
      </c>
      <c r="B159">
        <v>324</v>
      </c>
      <c r="C159">
        <v>9</v>
      </c>
      <c r="D159">
        <v>315</v>
      </c>
    </row>
    <row r="160" spans="1:4" x14ac:dyDescent="0.25">
      <c r="A160" t="s">
        <v>190</v>
      </c>
      <c r="B160">
        <v>312</v>
      </c>
      <c r="C160">
        <v>30</v>
      </c>
      <c r="D160">
        <v>290</v>
      </c>
    </row>
    <row r="161" spans="1:4" x14ac:dyDescent="0.25">
      <c r="A161" t="s">
        <v>2</v>
      </c>
      <c r="B161">
        <v>305</v>
      </c>
      <c r="C161">
        <v>4</v>
      </c>
      <c r="D161">
        <v>188</v>
      </c>
    </row>
    <row r="162" spans="1:4" x14ac:dyDescent="0.25">
      <c r="A162" t="s">
        <v>9</v>
      </c>
      <c r="B162">
        <v>287</v>
      </c>
      <c r="C162">
        <v>4</v>
      </c>
      <c r="D162">
        <v>46</v>
      </c>
    </row>
    <row r="163" spans="1:4" x14ac:dyDescent="0.25">
      <c r="A163" t="s">
        <v>87</v>
      </c>
      <c r="B163">
        <v>270</v>
      </c>
      <c r="C163">
        <v>5</v>
      </c>
      <c r="D163">
        <v>57</v>
      </c>
    </row>
    <row r="164" spans="1:4" x14ac:dyDescent="0.25">
      <c r="A164" t="s">
        <v>191</v>
      </c>
      <c r="B164">
        <v>252</v>
      </c>
      <c r="C164">
        <v>13</v>
      </c>
      <c r="D164">
        <v>238</v>
      </c>
    </row>
    <row r="165" spans="1:4" x14ac:dyDescent="0.25">
      <c r="A165" t="s">
        <v>142</v>
      </c>
      <c r="B165">
        <v>244</v>
      </c>
      <c r="C165">
        <v>6</v>
      </c>
      <c r="D165">
        <v>159</v>
      </c>
    </row>
    <row r="166" spans="1:4" x14ac:dyDescent="0.25">
      <c r="A166" t="s">
        <v>151</v>
      </c>
      <c r="B166">
        <v>194</v>
      </c>
      <c r="C166">
        <v>0</v>
      </c>
      <c r="D166">
        <v>75</v>
      </c>
    </row>
    <row r="167" spans="1:4" x14ac:dyDescent="0.25">
      <c r="A167" t="s">
        <v>192</v>
      </c>
      <c r="B167">
        <v>187</v>
      </c>
      <c r="C167">
        <v>0</v>
      </c>
      <c r="D167">
        <v>187</v>
      </c>
    </row>
    <row r="168" spans="1:4" x14ac:dyDescent="0.25">
      <c r="A168" t="s">
        <v>193</v>
      </c>
      <c r="B168">
        <v>179</v>
      </c>
      <c r="C168">
        <v>5</v>
      </c>
      <c r="D168">
        <v>162</v>
      </c>
    </row>
    <row r="169" spans="1:4" x14ac:dyDescent="0.25">
      <c r="A169" t="s">
        <v>194</v>
      </c>
      <c r="B169">
        <v>176</v>
      </c>
      <c r="C169">
        <v>0</v>
      </c>
      <c r="D169">
        <v>164</v>
      </c>
    </row>
    <row r="170" spans="1:4" x14ac:dyDescent="0.25">
      <c r="A170" t="s">
        <v>195</v>
      </c>
      <c r="B170">
        <v>171</v>
      </c>
      <c r="C170">
        <v>1</v>
      </c>
      <c r="D170">
        <v>102</v>
      </c>
    </row>
    <row r="171" spans="1:4" x14ac:dyDescent="0.25">
      <c r="A171" t="s">
        <v>56</v>
      </c>
      <c r="B171">
        <v>154</v>
      </c>
      <c r="C171">
        <v>12</v>
      </c>
      <c r="D171">
        <v>84</v>
      </c>
    </row>
    <row r="172" spans="1:4" x14ac:dyDescent="0.25">
      <c r="A172" t="s">
        <v>196</v>
      </c>
      <c r="B172">
        <v>148</v>
      </c>
      <c r="C172">
        <v>0</v>
      </c>
      <c r="D172">
        <v>0</v>
      </c>
    </row>
    <row r="173" spans="1:4" x14ac:dyDescent="0.25">
      <c r="A173" t="s">
        <v>197</v>
      </c>
      <c r="B173">
        <v>141</v>
      </c>
      <c r="C173">
        <v>9</v>
      </c>
      <c r="D173">
        <v>114</v>
      </c>
    </row>
    <row r="174" spans="1:4" x14ac:dyDescent="0.25">
      <c r="A174" t="s">
        <v>198</v>
      </c>
      <c r="B174">
        <v>141</v>
      </c>
      <c r="C174">
        <v>2</v>
      </c>
      <c r="D174">
        <v>138</v>
      </c>
    </row>
    <row r="175" spans="1:4" x14ac:dyDescent="0.25">
      <c r="A175" t="s">
        <v>40</v>
      </c>
      <c r="B175">
        <v>141</v>
      </c>
      <c r="C175">
        <v>2</v>
      </c>
      <c r="D175">
        <v>67</v>
      </c>
    </row>
    <row r="176" spans="1:4" x14ac:dyDescent="0.25">
      <c r="A176" t="s">
        <v>200</v>
      </c>
      <c r="B176">
        <v>141</v>
      </c>
      <c r="C176">
        <v>6</v>
      </c>
      <c r="D176">
        <v>58</v>
      </c>
    </row>
    <row r="177" spans="1:4" x14ac:dyDescent="0.25">
      <c r="A177" t="s">
        <v>47</v>
      </c>
      <c r="B177">
        <v>130</v>
      </c>
      <c r="C177">
        <v>2</v>
      </c>
      <c r="D177">
        <v>9</v>
      </c>
    </row>
    <row r="178" spans="1:4" x14ac:dyDescent="0.25">
      <c r="A178" t="s">
        <v>199</v>
      </c>
      <c r="B178">
        <v>128</v>
      </c>
      <c r="C178">
        <v>1</v>
      </c>
      <c r="D178" t="s">
        <v>164</v>
      </c>
    </row>
    <row r="179" spans="1:4" x14ac:dyDescent="0.25">
      <c r="A179" t="s">
        <v>155</v>
      </c>
      <c r="B179">
        <v>126</v>
      </c>
      <c r="C179">
        <v>0</v>
      </c>
      <c r="D179">
        <v>123</v>
      </c>
    </row>
    <row r="180" spans="1:4" x14ac:dyDescent="0.25">
      <c r="A180" t="s">
        <v>201</v>
      </c>
      <c r="B180">
        <v>117</v>
      </c>
      <c r="C180">
        <v>8</v>
      </c>
      <c r="D180">
        <v>108</v>
      </c>
    </row>
    <row r="181" spans="1:4" x14ac:dyDescent="0.25">
      <c r="A181" t="s">
        <v>202</v>
      </c>
      <c r="B181">
        <v>108</v>
      </c>
      <c r="C181">
        <v>4</v>
      </c>
      <c r="D181">
        <v>104</v>
      </c>
    </row>
    <row r="182" spans="1:4" x14ac:dyDescent="0.25">
      <c r="A182" t="s">
        <v>42</v>
      </c>
      <c r="B182">
        <v>103</v>
      </c>
      <c r="C182">
        <v>11</v>
      </c>
      <c r="D182">
        <v>62</v>
      </c>
    </row>
    <row r="183" spans="1:4" x14ac:dyDescent="0.25">
      <c r="A183" t="s">
        <v>203</v>
      </c>
      <c r="B183">
        <v>101</v>
      </c>
      <c r="C183">
        <v>3</v>
      </c>
      <c r="D183">
        <v>98</v>
      </c>
    </row>
    <row r="184" spans="1:4" x14ac:dyDescent="0.25">
      <c r="A184" t="s">
        <v>110</v>
      </c>
      <c r="B184">
        <v>99</v>
      </c>
      <c r="C184">
        <v>4</v>
      </c>
      <c r="D184">
        <v>93</v>
      </c>
    </row>
    <row r="185" spans="1:4" x14ac:dyDescent="0.25">
      <c r="A185" t="s">
        <v>66</v>
      </c>
      <c r="B185">
        <v>92</v>
      </c>
      <c r="C185">
        <v>7</v>
      </c>
      <c r="D185">
        <v>81</v>
      </c>
    </row>
    <row r="186" spans="1:4" x14ac:dyDescent="0.25">
      <c r="A186" t="s">
        <v>0</v>
      </c>
      <c r="B186">
        <v>92</v>
      </c>
      <c r="C186">
        <v>4</v>
      </c>
      <c r="D186">
        <v>38</v>
      </c>
    </row>
    <row r="187" spans="1:4" x14ac:dyDescent="0.25">
      <c r="A187" t="s">
        <v>1</v>
      </c>
      <c r="B187">
        <v>83</v>
      </c>
      <c r="C187">
        <v>1</v>
      </c>
      <c r="D187">
        <v>45</v>
      </c>
    </row>
    <row r="188" spans="1:4" x14ac:dyDescent="0.25">
      <c r="A188" t="s">
        <v>116</v>
      </c>
      <c r="B188">
        <v>82</v>
      </c>
      <c r="C188">
        <v>1</v>
      </c>
      <c r="D188">
        <v>55</v>
      </c>
    </row>
    <row r="189" spans="1:4" x14ac:dyDescent="0.25">
      <c r="A189" t="s">
        <v>204</v>
      </c>
      <c r="B189">
        <v>77</v>
      </c>
      <c r="C189">
        <v>15</v>
      </c>
      <c r="D189">
        <v>61</v>
      </c>
    </row>
    <row r="190" spans="1:4" x14ac:dyDescent="0.25">
      <c r="A190" t="s">
        <v>205</v>
      </c>
      <c r="B190">
        <v>71</v>
      </c>
      <c r="C190">
        <v>6</v>
      </c>
      <c r="D190">
        <v>62</v>
      </c>
    </row>
    <row r="191" spans="1:4" x14ac:dyDescent="0.25">
      <c r="A191" t="s">
        <v>206</v>
      </c>
      <c r="B191">
        <v>60</v>
      </c>
      <c r="C191">
        <v>0</v>
      </c>
      <c r="D191">
        <v>60</v>
      </c>
    </row>
    <row r="192" spans="1:4" x14ac:dyDescent="0.25">
      <c r="A192" t="s">
        <v>137</v>
      </c>
      <c r="B192">
        <v>59</v>
      </c>
      <c r="C192">
        <v>0</v>
      </c>
      <c r="D192">
        <v>14</v>
      </c>
    </row>
    <row r="193" spans="1:4" x14ac:dyDescent="0.25">
      <c r="A193" t="s">
        <v>207</v>
      </c>
      <c r="B193">
        <v>57</v>
      </c>
      <c r="C193">
        <v>0</v>
      </c>
      <c r="D193">
        <v>31</v>
      </c>
    </row>
    <row r="194" spans="1:4" x14ac:dyDescent="0.25">
      <c r="A194" t="s">
        <v>208</v>
      </c>
      <c r="B194">
        <v>57</v>
      </c>
      <c r="C194">
        <v>0</v>
      </c>
      <c r="D194">
        <v>31</v>
      </c>
    </row>
    <row r="195" spans="1:4" x14ac:dyDescent="0.25">
      <c r="A195" t="s">
        <v>209</v>
      </c>
      <c r="B195">
        <v>45</v>
      </c>
      <c r="C195">
        <v>0</v>
      </c>
      <c r="D195">
        <v>45</v>
      </c>
    </row>
    <row r="196" spans="1:4" x14ac:dyDescent="0.25">
      <c r="A196" t="s">
        <v>4</v>
      </c>
      <c r="B196">
        <v>42</v>
      </c>
      <c r="C196">
        <v>1</v>
      </c>
      <c r="D196">
        <v>24</v>
      </c>
    </row>
    <row r="197" spans="1:4" x14ac:dyDescent="0.25">
      <c r="A197" t="s">
        <v>33</v>
      </c>
      <c r="B197">
        <v>39</v>
      </c>
      <c r="C197">
        <v>0</v>
      </c>
      <c r="D197">
        <v>39</v>
      </c>
    </row>
    <row r="198" spans="1:4" x14ac:dyDescent="0.25">
      <c r="A198" t="s">
        <v>210</v>
      </c>
      <c r="B198">
        <v>35</v>
      </c>
      <c r="C198">
        <v>1</v>
      </c>
      <c r="D198">
        <v>27</v>
      </c>
    </row>
    <row r="199" spans="1:4" x14ac:dyDescent="0.25">
      <c r="A199" t="s">
        <v>15</v>
      </c>
      <c r="B199">
        <v>31</v>
      </c>
      <c r="C199">
        <v>0</v>
      </c>
      <c r="D199">
        <v>16</v>
      </c>
    </row>
    <row r="200" spans="1:4" x14ac:dyDescent="0.25">
      <c r="A200" t="s">
        <v>213</v>
      </c>
      <c r="B200">
        <v>28</v>
      </c>
      <c r="C200">
        <v>1</v>
      </c>
      <c r="D200">
        <v>21</v>
      </c>
    </row>
    <row r="201" spans="1:4" x14ac:dyDescent="0.25">
      <c r="A201" t="s">
        <v>212</v>
      </c>
      <c r="B201">
        <v>27</v>
      </c>
      <c r="C201">
        <v>2</v>
      </c>
      <c r="D201">
        <v>19</v>
      </c>
    </row>
    <row r="202" spans="1:4" x14ac:dyDescent="0.25">
      <c r="A202" t="s">
        <v>214</v>
      </c>
      <c r="B202">
        <v>27</v>
      </c>
      <c r="C202">
        <v>0</v>
      </c>
      <c r="D202">
        <v>16</v>
      </c>
    </row>
    <row r="203" spans="1:4" x14ac:dyDescent="0.25">
      <c r="A203" t="s">
        <v>211</v>
      </c>
      <c r="B203">
        <v>26</v>
      </c>
      <c r="C203">
        <v>3</v>
      </c>
      <c r="D203">
        <v>20</v>
      </c>
    </row>
    <row r="204" spans="1:4" x14ac:dyDescent="0.25">
      <c r="A204" t="s">
        <v>215</v>
      </c>
      <c r="B204">
        <v>24</v>
      </c>
      <c r="C204">
        <v>0</v>
      </c>
      <c r="D204">
        <v>24</v>
      </c>
    </row>
    <row r="205" spans="1:4" x14ac:dyDescent="0.25">
      <c r="A205" t="s">
        <v>54</v>
      </c>
      <c r="B205">
        <v>23</v>
      </c>
      <c r="C205">
        <v>0</v>
      </c>
      <c r="D205">
        <v>22</v>
      </c>
    </row>
    <row r="206" spans="1:4" x14ac:dyDescent="0.25">
      <c r="A206" t="s">
        <v>216</v>
      </c>
      <c r="B206">
        <v>21</v>
      </c>
      <c r="C206">
        <v>1</v>
      </c>
      <c r="D206">
        <v>16</v>
      </c>
    </row>
    <row r="207" spans="1:4" x14ac:dyDescent="0.25">
      <c r="A207" t="s">
        <v>217</v>
      </c>
      <c r="B207">
        <v>20</v>
      </c>
      <c r="C207">
        <v>0</v>
      </c>
      <c r="D207">
        <v>20</v>
      </c>
    </row>
    <row r="208" spans="1:4" x14ac:dyDescent="0.25">
      <c r="A208" t="s">
        <v>43</v>
      </c>
      <c r="B208">
        <v>19</v>
      </c>
      <c r="C208">
        <v>2</v>
      </c>
      <c r="D208">
        <v>16</v>
      </c>
    </row>
    <row r="209" spans="1:4" x14ac:dyDescent="0.25">
      <c r="A209" t="s">
        <v>218</v>
      </c>
      <c r="B209">
        <v>19</v>
      </c>
      <c r="C209">
        <v>0</v>
      </c>
      <c r="D209">
        <v>18</v>
      </c>
    </row>
    <row r="210" spans="1:4" x14ac:dyDescent="0.25">
      <c r="A210" t="s">
        <v>49</v>
      </c>
      <c r="B210">
        <v>19</v>
      </c>
      <c r="C210">
        <v>0</v>
      </c>
      <c r="D210">
        <v>18</v>
      </c>
    </row>
    <row r="211" spans="1:4" x14ac:dyDescent="0.25">
      <c r="A211" t="s">
        <v>147</v>
      </c>
      <c r="B211">
        <v>18</v>
      </c>
      <c r="C211">
        <v>0</v>
      </c>
      <c r="D211">
        <v>18</v>
      </c>
    </row>
    <row r="212" spans="1:4" x14ac:dyDescent="0.25">
      <c r="A212" t="s">
        <v>62</v>
      </c>
      <c r="B212">
        <v>18</v>
      </c>
      <c r="C212">
        <v>0</v>
      </c>
      <c r="D212">
        <v>16</v>
      </c>
    </row>
    <row r="213" spans="1:4" x14ac:dyDescent="0.25">
      <c r="A213" t="s">
        <v>219</v>
      </c>
      <c r="B213">
        <v>15</v>
      </c>
      <c r="C213">
        <v>0</v>
      </c>
      <c r="D213">
        <v>15</v>
      </c>
    </row>
    <row r="214" spans="1:4" x14ac:dyDescent="0.25">
      <c r="A214" t="s">
        <v>220</v>
      </c>
      <c r="B214">
        <v>13</v>
      </c>
      <c r="C214">
        <v>0</v>
      </c>
      <c r="D214">
        <v>13</v>
      </c>
    </row>
    <row r="215" spans="1:4" x14ac:dyDescent="0.25">
      <c r="A215" t="s">
        <v>221</v>
      </c>
      <c r="B215">
        <v>13</v>
      </c>
      <c r="C215">
        <v>0</v>
      </c>
      <c r="D215">
        <v>13</v>
      </c>
    </row>
    <row r="216" spans="1:4" x14ac:dyDescent="0.25">
      <c r="A216" t="s">
        <v>222</v>
      </c>
      <c r="B216">
        <v>13</v>
      </c>
      <c r="C216">
        <v>4</v>
      </c>
      <c r="D216" t="s">
        <v>164</v>
      </c>
    </row>
    <row r="217" spans="1:4" x14ac:dyDescent="0.25">
      <c r="A217" t="s">
        <v>223</v>
      </c>
      <c r="B217">
        <v>12</v>
      </c>
      <c r="C217">
        <v>2</v>
      </c>
      <c r="D217" t="s">
        <v>164</v>
      </c>
    </row>
    <row r="218" spans="1:4" x14ac:dyDescent="0.25">
      <c r="A218" t="s">
        <v>224</v>
      </c>
      <c r="B218">
        <v>12</v>
      </c>
      <c r="C218">
        <v>1</v>
      </c>
      <c r="D218">
        <v>10</v>
      </c>
    </row>
    <row r="219" spans="1:4" x14ac:dyDescent="0.25">
      <c r="A219" t="s">
        <v>225</v>
      </c>
      <c r="B219">
        <v>12</v>
      </c>
      <c r="C219">
        <v>0</v>
      </c>
      <c r="D219">
        <v>12</v>
      </c>
    </row>
    <row r="220" spans="1:4" x14ac:dyDescent="0.25">
      <c r="A220" t="s">
        <v>226</v>
      </c>
      <c r="B220">
        <v>11</v>
      </c>
      <c r="C220">
        <v>1</v>
      </c>
      <c r="D220">
        <v>10</v>
      </c>
    </row>
    <row r="221" spans="1:4" x14ac:dyDescent="0.25">
      <c r="A221" t="s">
        <v>12</v>
      </c>
      <c r="B221">
        <v>11</v>
      </c>
      <c r="C221">
        <v>0</v>
      </c>
      <c r="D221">
        <v>11</v>
      </c>
    </row>
    <row r="222" spans="1:4" x14ac:dyDescent="0.25">
      <c r="A222" t="s">
        <v>227</v>
      </c>
      <c r="B222">
        <v>8</v>
      </c>
      <c r="C222">
        <v>1</v>
      </c>
      <c r="D222">
        <v>7</v>
      </c>
    </row>
    <row r="223" spans="1:4" x14ac:dyDescent="0.25">
      <c r="A223" t="s">
        <v>228</v>
      </c>
      <c r="B223">
        <v>8</v>
      </c>
      <c r="C223">
        <v>0</v>
      </c>
      <c r="D223" t="s">
        <v>164</v>
      </c>
    </row>
    <row r="224" spans="1:4" x14ac:dyDescent="0.25">
      <c r="A224" t="s">
        <v>149</v>
      </c>
      <c r="B224">
        <v>8</v>
      </c>
      <c r="C224">
        <v>0</v>
      </c>
      <c r="D224">
        <v>8</v>
      </c>
    </row>
    <row r="225" spans="1:4" x14ac:dyDescent="0.25">
      <c r="A225" t="s">
        <v>31</v>
      </c>
      <c r="B225">
        <v>4</v>
      </c>
      <c r="C225">
        <v>0</v>
      </c>
      <c r="D225">
        <v>2</v>
      </c>
    </row>
    <row r="226" spans="1:4" x14ac:dyDescent="0.25">
      <c r="A226" t="s">
        <v>229</v>
      </c>
      <c r="B226">
        <v>3</v>
      </c>
      <c r="C226">
        <v>0</v>
      </c>
      <c r="D226">
        <v>3</v>
      </c>
    </row>
    <row r="227" spans="1:4" x14ac:dyDescent="0.25">
      <c r="A227" t="s">
        <v>230</v>
      </c>
      <c r="B227">
        <v>3</v>
      </c>
      <c r="C227">
        <v>0</v>
      </c>
      <c r="D227">
        <v>3</v>
      </c>
    </row>
    <row r="228" spans="1:4" x14ac:dyDescent="0.25">
      <c r="A228" t="s">
        <v>231</v>
      </c>
      <c r="B228">
        <v>2</v>
      </c>
      <c r="C228">
        <v>0</v>
      </c>
      <c r="D228">
        <v>2</v>
      </c>
    </row>
    <row r="229" spans="1:4" x14ac:dyDescent="0.25">
      <c r="A229" t="s">
        <v>232</v>
      </c>
      <c r="B229">
        <v>2</v>
      </c>
      <c r="C229">
        <v>0</v>
      </c>
      <c r="D229">
        <v>2</v>
      </c>
    </row>
    <row r="230" spans="1:4" x14ac:dyDescent="0.25">
      <c r="A230" t="s">
        <v>233</v>
      </c>
      <c r="B230">
        <v>1</v>
      </c>
      <c r="C230">
        <v>0</v>
      </c>
      <c r="D230">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B58C7-E48F-454E-91B4-4FE9DC3C1912}">
  <sheetPr codeName="Sheet3"/>
  <dimension ref="A1:N230"/>
  <sheetViews>
    <sheetView workbookViewId="0">
      <selection activeCell="D1" sqref="D1:D1048576"/>
    </sheetView>
  </sheetViews>
  <sheetFormatPr defaultRowHeight="15" x14ac:dyDescent="0.25"/>
  <cols>
    <col min="1" max="1" width="81.140625" style="1" bestFit="1" customWidth="1"/>
    <col min="2" max="2" width="8.28515625" bestFit="1" customWidth="1"/>
    <col min="3" max="3" width="9.42578125" bestFit="1" customWidth="1"/>
    <col min="4" max="4" width="81.140625" style="1" bestFit="1" customWidth="1"/>
    <col min="5" max="10" width="81.140625" bestFit="1" customWidth="1"/>
    <col min="11" max="11" width="81.140625" style="1" bestFit="1" customWidth="1"/>
    <col min="12" max="12" width="10.5703125" style="3" bestFit="1" customWidth="1"/>
    <col min="13" max="13" width="10.85546875" style="3" bestFit="1" customWidth="1"/>
    <col min="14" max="14" width="81.140625" style="1" bestFit="1" customWidth="1"/>
  </cols>
  <sheetData>
    <row r="1" spans="1:14" x14ac:dyDescent="0.25">
      <c r="A1" t="s">
        <v>156</v>
      </c>
      <c r="B1" t="s">
        <v>157</v>
      </c>
      <c r="C1" t="s">
        <v>158</v>
      </c>
      <c r="D1" s="1" t="s">
        <v>159</v>
      </c>
      <c r="K1"/>
      <c r="L1"/>
      <c r="M1"/>
      <c r="N1"/>
    </row>
    <row r="2" spans="1:14" x14ac:dyDescent="0.25">
      <c r="A2" s="1" t="s">
        <v>160</v>
      </c>
      <c r="B2">
        <v>7238768</v>
      </c>
      <c r="C2">
        <v>411279</v>
      </c>
      <c r="D2" s="6">
        <v>3373832</v>
      </c>
      <c r="K2"/>
      <c r="L2"/>
      <c r="M2"/>
      <c r="N2"/>
    </row>
    <row r="3" spans="1:14" x14ac:dyDescent="0.25">
      <c r="A3" s="1" t="s">
        <v>161</v>
      </c>
      <c r="B3">
        <v>2024570</v>
      </c>
      <c r="C3">
        <v>113848</v>
      </c>
      <c r="D3" s="6">
        <v>602215</v>
      </c>
    </row>
    <row r="4" spans="1:14" x14ac:dyDescent="0.25">
      <c r="A4" s="1" t="s">
        <v>65</v>
      </c>
      <c r="B4">
        <v>747561</v>
      </c>
      <c r="C4">
        <v>38701</v>
      </c>
      <c r="D4" s="6">
        <v>325602</v>
      </c>
    </row>
    <row r="5" spans="1:14" x14ac:dyDescent="0.25">
      <c r="A5" s="1" t="s">
        <v>162</v>
      </c>
      <c r="B5">
        <v>493657</v>
      </c>
      <c r="C5">
        <v>6358</v>
      </c>
      <c r="D5" s="6">
        <v>252783</v>
      </c>
    </row>
    <row r="6" spans="1:14" x14ac:dyDescent="0.25">
      <c r="A6" s="1" t="s">
        <v>163</v>
      </c>
      <c r="B6">
        <v>290143</v>
      </c>
      <c r="C6">
        <v>41128</v>
      </c>
      <c r="D6" s="1" t="s">
        <v>164</v>
      </c>
    </row>
    <row r="7" spans="1:14" x14ac:dyDescent="0.25">
      <c r="A7" s="1" t="s">
        <v>139</v>
      </c>
      <c r="B7">
        <v>276583</v>
      </c>
      <c r="C7">
        <v>7745</v>
      </c>
      <c r="D7" s="6">
        <v>135206</v>
      </c>
    </row>
    <row r="8" spans="1:14" x14ac:dyDescent="0.25">
      <c r="A8" s="1" t="s">
        <v>125</v>
      </c>
      <c r="B8">
        <v>241966</v>
      </c>
      <c r="C8">
        <v>27136</v>
      </c>
      <c r="D8" s="6">
        <v>150376</v>
      </c>
    </row>
    <row r="9" spans="1:14" x14ac:dyDescent="0.25">
      <c r="A9" s="1" t="s">
        <v>113</v>
      </c>
      <c r="B9">
        <v>235561</v>
      </c>
      <c r="C9">
        <v>34043</v>
      </c>
      <c r="D9" s="6">
        <v>168646</v>
      </c>
    </row>
    <row r="10" spans="1:14" x14ac:dyDescent="0.25">
      <c r="A10" s="1" t="s">
        <v>53</v>
      </c>
      <c r="B10">
        <v>203736</v>
      </c>
      <c r="C10">
        <v>5738</v>
      </c>
      <c r="D10" s="6">
        <v>92929</v>
      </c>
    </row>
    <row r="11" spans="1:14" x14ac:dyDescent="0.25">
      <c r="A11" s="1" t="s">
        <v>130</v>
      </c>
      <c r="B11">
        <v>186525</v>
      </c>
      <c r="C11">
        <v>8831</v>
      </c>
      <c r="D11" s="6">
        <v>170671</v>
      </c>
    </row>
    <row r="12" spans="1:14" x14ac:dyDescent="0.25">
      <c r="A12" s="1" t="s">
        <v>165</v>
      </c>
      <c r="B12">
        <v>177938</v>
      </c>
      <c r="C12">
        <v>8506</v>
      </c>
      <c r="D12" s="6">
        <v>140590</v>
      </c>
    </row>
    <row r="13" spans="1:14" x14ac:dyDescent="0.25">
      <c r="A13" s="1" t="s">
        <v>97</v>
      </c>
      <c r="B13">
        <v>172114</v>
      </c>
      <c r="C13">
        <v>4729</v>
      </c>
      <c r="D13" s="6">
        <v>144598</v>
      </c>
    </row>
    <row r="14" spans="1:14" x14ac:dyDescent="0.25">
      <c r="A14" s="1" t="s">
        <v>128</v>
      </c>
      <c r="B14">
        <v>154591</v>
      </c>
      <c r="C14">
        <v>29296</v>
      </c>
      <c r="D14" s="6">
        <v>71506</v>
      </c>
    </row>
    <row r="15" spans="1:14" x14ac:dyDescent="0.25">
      <c r="A15" s="1" t="s">
        <v>68</v>
      </c>
      <c r="B15">
        <v>142759</v>
      </c>
      <c r="C15">
        <v>2283</v>
      </c>
      <c r="D15" s="1" t="s">
        <v>164</v>
      </c>
    </row>
    <row r="16" spans="1:14" x14ac:dyDescent="0.25">
      <c r="A16" s="1" t="s">
        <v>50</v>
      </c>
      <c r="B16">
        <v>124301</v>
      </c>
      <c r="C16">
        <v>14649</v>
      </c>
      <c r="D16" s="6">
        <v>91412</v>
      </c>
    </row>
    <row r="17" spans="1:4" x14ac:dyDescent="0.25">
      <c r="A17" s="1" t="s">
        <v>79</v>
      </c>
      <c r="B17">
        <v>113702</v>
      </c>
      <c r="C17">
        <v>2255</v>
      </c>
      <c r="D17" s="6">
        <v>36308</v>
      </c>
    </row>
    <row r="18" spans="1:4" x14ac:dyDescent="0.25">
      <c r="A18" s="1" t="s">
        <v>81</v>
      </c>
      <c r="B18">
        <v>112288</v>
      </c>
      <c r="C18">
        <v>819</v>
      </c>
      <c r="D18" s="6">
        <v>77954</v>
      </c>
    </row>
    <row r="19" spans="1:4" x14ac:dyDescent="0.25">
      <c r="A19" s="1" t="s">
        <v>67</v>
      </c>
      <c r="B19">
        <v>96904</v>
      </c>
      <c r="C19">
        <v>7908</v>
      </c>
      <c r="D19" s="6">
        <v>56122</v>
      </c>
    </row>
    <row r="20" spans="1:4" x14ac:dyDescent="0.25">
      <c r="A20" s="1" t="s">
        <v>146</v>
      </c>
      <c r="B20">
        <v>83046</v>
      </c>
      <c r="C20">
        <v>4634</v>
      </c>
      <c r="D20" s="6">
        <v>78357</v>
      </c>
    </row>
    <row r="21" spans="1:4" x14ac:dyDescent="0.25">
      <c r="A21" s="1" t="s">
        <v>136</v>
      </c>
      <c r="B21">
        <v>74865</v>
      </c>
      <c r="C21">
        <v>1012</v>
      </c>
      <c r="D21" s="6">
        <v>15900</v>
      </c>
    </row>
    <row r="22" spans="1:4" x14ac:dyDescent="0.25">
      <c r="A22" s="1" t="s">
        <v>80</v>
      </c>
      <c r="B22">
        <v>73595</v>
      </c>
      <c r="C22">
        <v>66</v>
      </c>
      <c r="D22" s="6">
        <v>49413</v>
      </c>
    </row>
    <row r="23" spans="1:4" x14ac:dyDescent="0.25">
      <c r="A23" s="1" t="s">
        <v>94</v>
      </c>
      <c r="B23">
        <v>59569</v>
      </c>
      <c r="C23">
        <v>9619</v>
      </c>
      <c r="D23" s="6">
        <v>16392</v>
      </c>
    </row>
    <row r="24" spans="1:4" x14ac:dyDescent="0.25">
      <c r="A24" s="1" t="s">
        <v>7</v>
      </c>
      <c r="B24">
        <v>52991</v>
      </c>
      <c r="C24">
        <v>1162</v>
      </c>
      <c r="D24" s="6">
        <v>29006</v>
      </c>
    </row>
    <row r="25" spans="1:4" x14ac:dyDescent="0.25">
      <c r="A25" s="1" t="s">
        <v>133</v>
      </c>
      <c r="B25">
        <v>51066</v>
      </c>
      <c r="C25">
        <v>288</v>
      </c>
      <c r="D25" s="6">
        <v>25667</v>
      </c>
    </row>
    <row r="26" spans="1:4" x14ac:dyDescent="0.25">
      <c r="A26" s="1" t="s">
        <v>104</v>
      </c>
      <c r="B26">
        <v>47903</v>
      </c>
      <c r="C26">
        <v>6031</v>
      </c>
      <c r="D26" s="1" t="s">
        <v>164</v>
      </c>
    </row>
    <row r="27" spans="1:4" x14ac:dyDescent="0.25">
      <c r="A27" s="1" t="s">
        <v>95</v>
      </c>
      <c r="B27">
        <v>45924</v>
      </c>
      <c r="C27">
        <v>4717</v>
      </c>
      <c r="D27" s="1" t="s">
        <v>164</v>
      </c>
    </row>
    <row r="28" spans="1:4" x14ac:dyDescent="0.25">
      <c r="A28" s="1" t="s">
        <v>64</v>
      </c>
      <c r="B28">
        <v>43917</v>
      </c>
      <c r="C28">
        <v>3690</v>
      </c>
      <c r="D28" s="6">
        <v>4375</v>
      </c>
    </row>
    <row r="29" spans="1:4" x14ac:dyDescent="0.25">
      <c r="A29" s="1" t="s">
        <v>69</v>
      </c>
      <c r="B29">
        <v>42078</v>
      </c>
      <c r="C29">
        <v>1372</v>
      </c>
      <c r="D29" s="6">
        <v>16534</v>
      </c>
    </row>
    <row r="30" spans="1:4" x14ac:dyDescent="0.25">
      <c r="A30" s="1" t="s">
        <v>71</v>
      </c>
      <c r="B30">
        <v>39904</v>
      </c>
      <c r="C30">
        <v>283</v>
      </c>
      <c r="D30" s="6">
        <v>22740</v>
      </c>
    </row>
    <row r="31" spans="1:4" x14ac:dyDescent="0.25">
      <c r="A31" s="1" t="s">
        <v>150</v>
      </c>
      <c r="B31">
        <v>38514</v>
      </c>
      <c r="C31">
        <v>25</v>
      </c>
      <c r="D31" s="6">
        <v>25877</v>
      </c>
    </row>
    <row r="32" spans="1:4" x14ac:dyDescent="0.25">
      <c r="A32" s="1" t="s">
        <v>74</v>
      </c>
      <c r="B32">
        <v>36829</v>
      </c>
      <c r="C32">
        <v>1306</v>
      </c>
      <c r="D32" s="6">
        <v>9786</v>
      </c>
    </row>
    <row r="33" spans="1:4" x14ac:dyDescent="0.25">
      <c r="A33" s="1" t="s">
        <v>107</v>
      </c>
      <c r="B33">
        <v>35600</v>
      </c>
      <c r="C33">
        <v>1497</v>
      </c>
      <c r="D33" s="6">
        <v>21742</v>
      </c>
    </row>
    <row r="34" spans="1:4" x14ac:dyDescent="0.25">
      <c r="A34" s="1" t="s">
        <v>138</v>
      </c>
      <c r="B34">
        <v>34316</v>
      </c>
      <c r="C34">
        <v>1959</v>
      </c>
      <c r="D34" s="6">
        <v>12129</v>
      </c>
    </row>
    <row r="35" spans="1:4" x14ac:dyDescent="0.25">
      <c r="A35" s="1" t="s">
        <v>85</v>
      </c>
      <c r="B35">
        <v>33823</v>
      </c>
      <c r="C35">
        <v>275</v>
      </c>
      <c r="D35" s="6">
        <v>23288</v>
      </c>
    </row>
    <row r="36" spans="1:4" x14ac:dyDescent="0.25">
      <c r="A36" s="1" t="s">
        <v>134</v>
      </c>
      <c r="B36">
        <v>31011</v>
      </c>
      <c r="C36">
        <v>1675</v>
      </c>
      <c r="D36" s="6">
        <v>28700</v>
      </c>
    </row>
    <row r="37" spans="1:4" x14ac:dyDescent="0.25">
      <c r="A37" s="1" t="s">
        <v>98</v>
      </c>
      <c r="B37">
        <v>28381</v>
      </c>
      <c r="C37">
        <v>833</v>
      </c>
      <c r="D37" s="6">
        <v>12769</v>
      </c>
    </row>
    <row r="38" spans="1:4" x14ac:dyDescent="0.25">
      <c r="A38" s="1" t="s">
        <v>106</v>
      </c>
      <c r="B38">
        <v>27668</v>
      </c>
      <c r="C38">
        <v>1191</v>
      </c>
      <c r="D38" s="6">
        <v>13411</v>
      </c>
    </row>
    <row r="39" spans="1:4" x14ac:dyDescent="0.25">
      <c r="A39" s="1" t="s">
        <v>122</v>
      </c>
      <c r="B39">
        <v>25215</v>
      </c>
      <c r="C39">
        <v>1691</v>
      </c>
      <c r="D39" s="6">
        <v>22698</v>
      </c>
    </row>
    <row r="40" spans="1:4" x14ac:dyDescent="0.25">
      <c r="A40" s="1" t="s">
        <v>41</v>
      </c>
      <c r="B40">
        <v>24748</v>
      </c>
      <c r="C40">
        <v>717</v>
      </c>
      <c r="D40" s="6">
        <v>7555</v>
      </c>
    </row>
    <row r="41" spans="1:4" x14ac:dyDescent="0.25">
      <c r="A41" s="1" t="s">
        <v>148</v>
      </c>
      <c r="B41">
        <v>23732</v>
      </c>
      <c r="C41">
        <v>1027</v>
      </c>
      <c r="D41" s="6">
        <v>4895</v>
      </c>
    </row>
    <row r="42" spans="1:4" x14ac:dyDescent="0.25">
      <c r="A42" s="1" t="s">
        <v>70</v>
      </c>
      <c r="B42">
        <v>22143</v>
      </c>
      <c r="C42">
        <v>405</v>
      </c>
      <c r="D42" s="6">
        <v>2975</v>
      </c>
    </row>
    <row r="43" spans="1:4" x14ac:dyDescent="0.25">
      <c r="A43" s="1" t="s">
        <v>108</v>
      </c>
      <c r="B43">
        <v>20945</v>
      </c>
      <c r="C43">
        <v>1360</v>
      </c>
      <c r="D43" s="6">
        <v>15103</v>
      </c>
    </row>
    <row r="44" spans="1:4" x14ac:dyDescent="0.25">
      <c r="A44" s="1" t="s">
        <v>63</v>
      </c>
      <c r="B44">
        <v>20415</v>
      </c>
      <c r="C44">
        <v>544</v>
      </c>
      <c r="D44" s="6">
        <v>12208</v>
      </c>
    </row>
    <row r="45" spans="1:4" x14ac:dyDescent="0.25">
      <c r="A45" s="1" t="s">
        <v>78</v>
      </c>
      <c r="B45">
        <v>18887</v>
      </c>
      <c r="C45">
        <v>84</v>
      </c>
      <c r="D45" s="6">
        <v>4329</v>
      </c>
    </row>
    <row r="46" spans="1:4" x14ac:dyDescent="0.25">
      <c r="A46" s="1" t="s">
        <v>124</v>
      </c>
      <c r="B46">
        <v>18268</v>
      </c>
      <c r="C46">
        <v>299</v>
      </c>
      <c r="D46" s="6">
        <v>15168</v>
      </c>
    </row>
    <row r="47" spans="1:4" x14ac:dyDescent="0.25">
      <c r="A47" s="1" t="s">
        <v>154</v>
      </c>
      <c r="B47">
        <v>17251</v>
      </c>
      <c r="C47">
        <v>919</v>
      </c>
      <c r="D47" s="6">
        <v>15298</v>
      </c>
    </row>
    <row r="48" spans="1:4" x14ac:dyDescent="0.25">
      <c r="A48" s="1" t="s">
        <v>92</v>
      </c>
      <c r="B48">
        <v>17005</v>
      </c>
      <c r="C48">
        <v>673</v>
      </c>
      <c r="D48" s="6">
        <v>15910</v>
      </c>
    </row>
    <row r="49" spans="1:4" x14ac:dyDescent="0.25">
      <c r="A49" s="1" t="s">
        <v>52</v>
      </c>
      <c r="B49">
        <v>16854</v>
      </c>
      <c r="C49">
        <v>398</v>
      </c>
      <c r="D49" s="6">
        <v>10401</v>
      </c>
    </row>
    <row r="50" spans="1:4" x14ac:dyDescent="0.25">
      <c r="A50" s="1" t="s">
        <v>72</v>
      </c>
      <c r="B50">
        <v>15731</v>
      </c>
      <c r="C50">
        <v>29</v>
      </c>
      <c r="D50" s="6">
        <v>10606</v>
      </c>
    </row>
    <row r="51" spans="1:4" x14ac:dyDescent="0.25">
      <c r="A51" s="1" t="s">
        <v>83</v>
      </c>
      <c r="B51">
        <v>15414</v>
      </c>
      <c r="C51">
        <v>426</v>
      </c>
      <c r="D51" s="6">
        <v>6214</v>
      </c>
    </row>
    <row r="52" spans="1:4" x14ac:dyDescent="0.25">
      <c r="A52" s="1" t="s">
        <v>166</v>
      </c>
      <c r="B52">
        <v>14644</v>
      </c>
      <c r="C52">
        <v>487</v>
      </c>
      <c r="D52" s="6">
        <v>2190</v>
      </c>
    </row>
    <row r="53" spans="1:4" x14ac:dyDescent="0.25">
      <c r="A53" s="1" t="s">
        <v>91</v>
      </c>
      <c r="B53">
        <v>14103</v>
      </c>
      <c r="C53">
        <v>227</v>
      </c>
      <c r="D53" s="6">
        <v>5226</v>
      </c>
    </row>
    <row r="54" spans="1:4" x14ac:dyDescent="0.25">
      <c r="A54" s="1" t="s">
        <v>17</v>
      </c>
      <c r="B54">
        <v>13464</v>
      </c>
      <c r="C54">
        <v>365</v>
      </c>
      <c r="D54" s="6">
        <v>4206</v>
      </c>
    </row>
    <row r="55" spans="1:4" x14ac:dyDescent="0.25">
      <c r="A55" s="1" t="s">
        <v>114</v>
      </c>
      <c r="B55">
        <v>13319</v>
      </c>
      <c r="C55">
        <v>61</v>
      </c>
      <c r="D55" s="6">
        <v>8015</v>
      </c>
    </row>
    <row r="56" spans="1:4" x14ac:dyDescent="0.25">
      <c r="A56" s="1" t="s">
        <v>131</v>
      </c>
      <c r="B56">
        <v>12001</v>
      </c>
      <c r="C56">
        <v>593</v>
      </c>
      <c r="D56" s="6">
        <v>10849</v>
      </c>
    </row>
    <row r="57" spans="1:4" x14ac:dyDescent="0.25">
      <c r="A57" s="1" t="s">
        <v>101</v>
      </c>
      <c r="B57">
        <v>11965</v>
      </c>
      <c r="C57">
        <v>250</v>
      </c>
      <c r="D57" s="6">
        <v>11348</v>
      </c>
    </row>
    <row r="58" spans="1:4" x14ac:dyDescent="0.25">
      <c r="A58" s="1" t="s">
        <v>167</v>
      </c>
      <c r="B58">
        <v>11902</v>
      </c>
      <c r="C58">
        <v>276</v>
      </c>
      <c r="D58" s="6">
        <v>10611</v>
      </c>
    </row>
    <row r="59" spans="1:4" x14ac:dyDescent="0.25">
      <c r="A59" s="1" t="s">
        <v>32</v>
      </c>
      <c r="B59">
        <v>10484</v>
      </c>
      <c r="C59">
        <v>732</v>
      </c>
      <c r="D59" s="6">
        <v>7074</v>
      </c>
    </row>
    <row r="60" spans="1:4" x14ac:dyDescent="0.25">
      <c r="A60" s="1" t="s">
        <v>168</v>
      </c>
      <c r="B60">
        <v>10321</v>
      </c>
      <c r="C60">
        <v>371</v>
      </c>
      <c r="D60" s="6">
        <v>5930</v>
      </c>
    </row>
    <row r="61" spans="1:4" x14ac:dyDescent="0.25">
      <c r="A61" s="1" t="s">
        <v>36</v>
      </c>
      <c r="B61">
        <v>10201</v>
      </c>
      <c r="C61">
        <v>48</v>
      </c>
      <c r="D61" s="6">
        <v>3755</v>
      </c>
    </row>
    <row r="62" spans="1:4" x14ac:dyDescent="0.25">
      <c r="A62" s="1" t="s">
        <v>169</v>
      </c>
      <c r="B62">
        <v>9763</v>
      </c>
      <c r="C62">
        <v>330</v>
      </c>
      <c r="D62" s="6">
        <v>7057</v>
      </c>
    </row>
    <row r="63" spans="1:4" x14ac:dyDescent="0.25">
      <c r="A63" s="1" t="s">
        <v>38</v>
      </c>
      <c r="B63">
        <v>8681</v>
      </c>
      <c r="C63">
        <v>208</v>
      </c>
      <c r="D63" s="6">
        <v>4836</v>
      </c>
    </row>
    <row r="64" spans="1:4" x14ac:dyDescent="0.25">
      <c r="A64" s="1" t="s">
        <v>105</v>
      </c>
      <c r="B64">
        <v>8576</v>
      </c>
      <c r="C64">
        <v>239</v>
      </c>
      <c r="D64" s="6">
        <v>8138</v>
      </c>
    </row>
    <row r="65" spans="1:4" x14ac:dyDescent="0.25">
      <c r="A65" s="1" t="s">
        <v>93</v>
      </c>
      <c r="B65">
        <v>8530</v>
      </c>
      <c r="C65">
        <v>102</v>
      </c>
      <c r="D65" s="6">
        <v>4720</v>
      </c>
    </row>
    <row r="66" spans="1:4" x14ac:dyDescent="0.25">
      <c r="A66" s="1" t="s">
        <v>88</v>
      </c>
      <c r="B66">
        <v>8455</v>
      </c>
      <c r="C66">
        <v>210</v>
      </c>
      <c r="D66" s="6">
        <v>7496</v>
      </c>
    </row>
    <row r="67" spans="1:4" x14ac:dyDescent="0.25">
      <c r="A67" s="1" t="s">
        <v>152</v>
      </c>
      <c r="B67">
        <v>8338</v>
      </c>
      <c r="C67">
        <v>118</v>
      </c>
      <c r="D67" s="6">
        <v>7014</v>
      </c>
    </row>
    <row r="68" spans="1:4" x14ac:dyDescent="0.25">
      <c r="A68" s="1" t="s">
        <v>55</v>
      </c>
      <c r="B68">
        <v>7866</v>
      </c>
      <c r="C68">
        <v>289</v>
      </c>
      <c r="D68" s="6">
        <v>1413</v>
      </c>
    </row>
    <row r="69" spans="1:4" x14ac:dyDescent="0.25">
      <c r="A69" s="1" t="s">
        <v>145</v>
      </c>
      <c r="B69">
        <v>7265</v>
      </c>
      <c r="C69">
        <v>102</v>
      </c>
      <c r="D69" s="6">
        <v>6720</v>
      </c>
    </row>
    <row r="70" spans="1:4" x14ac:dyDescent="0.25">
      <c r="A70" s="1" t="s">
        <v>127</v>
      </c>
      <c r="B70">
        <v>7040</v>
      </c>
      <c r="C70">
        <v>324</v>
      </c>
      <c r="D70" s="6">
        <v>5800</v>
      </c>
    </row>
    <row r="71" spans="1:4" x14ac:dyDescent="0.25">
      <c r="A71" s="1" t="s">
        <v>57</v>
      </c>
      <c r="B71">
        <v>6935</v>
      </c>
      <c r="C71">
        <v>271</v>
      </c>
      <c r="D71" s="1">
        <v>787</v>
      </c>
    </row>
    <row r="72" spans="1:4" x14ac:dyDescent="0.25">
      <c r="A72" s="1" t="s">
        <v>82</v>
      </c>
      <c r="B72">
        <v>6427</v>
      </c>
      <c r="C72">
        <v>389</v>
      </c>
      <c r="D72" s="6">
        <v>2127</v>
      </c>
    </row>
    <row r="73" spans="1:4" x14ac:dyDescent="0.25">
      <c r="A73" s="1" t="s">
        <v>44</v>
      </c>
      <c r="B73">
        <v>5329</v>
      </c>
      <c r="C73">
        <v>143</v>
      </c>
      <c r="D73" s="1">
        <v>850</v>
      </c>
    </row>
    <row r="74" spans="1:4" x14ac:dyDescent="0.25">
      <c r="A74" s="1" t="s">
        <v>96</v>
      </c>
      <c r="B74">
        <v>4690</v>
      </c>
      <c r="C74">
        <v>48</v>
      </c>
      <c r="D74" s="6">
        <v>2815</v>
      </c>
    </row>
    <row r="75" spans="1:4" x14ac:dyDescent="0.25">
      <c r="A75" s="1" t="s">
        <v>99</v>
      </c>
      <c r="B75">
        <v>4547</v>
      </c>
      <c r="C75">
        <v>18</v>
      </c>
      <c r="D75" s="6">
        <v>3459</v>
      </c>
    </row>
    <row r="76" spans="1:4" x14ac:dyDescent="0.25">
      <c r="A76" s="1" t="s">
        <v>19</v>
      </c>
      <c r="B76">
        <v>4516</v>
      </c>
      <c r="C76">
        <v>51</v>
      </c>
      <c r="D76" s="6">
        <v>2809</v>
      </c>
    </row>
    <row r="77" spans="1:4" x14ac:dyDescent="0.25">
      <c r="A77" s="1" t="s">
        <v>170</v>
      </c>
      <c r="B77">
        <v>4390</v>
      </c>
      <c r="C77">
        <v>96</v>
      </c>
      <c r="D77" s="1">
        <v>565</v>
      </c>
    </row>
    <row r="78" spans="1:4" x14ac:dyDescent="0.25">
      <c r="A78" s="1" t="s">
        <v>73</v>
      </c>
      <c r="B78">
        <v>4331</v>
      </c>
      <c r="C78">
        <v>314</v>
      </c>
      <c r="D78" s="6">
        <v>2139</v>
      </c>
    </row>
    <row r="79" spans="1:4" x14ac:dyDescent="0.25">
      <c r="A79" s="1" t="s">
        <v>37</v>
      </c>
      <c r="B79">
        <v>4258</v>
      </c>
      <c r="C79">
        <v>23</v>
      </c>
      <c r="D79" s="6">
        <v>2942</v>
      </c>
    </row>
    <row r="80" spans="1:4" x14ac:dyDescent="0.25">
      <c r="A80" s="1" t="s">
        <v>143</v>
      </c>
      <c r="B80">
        <v>4085</v>
      </c>
      <c r="C80">
        <v>15</v>
      </c>
      <c r="D80" s="1">
        <v>584</v>
      </c>
    </row>
    <row r="81" spans="1:4" x14ac:dyDescent="0.25">
      <c r="A81" s="1" t="s">
        <v>118</v>
      </c>
      <c r="B81">
        <v>4046</v>
      </c>
      <c r="C81">
        <v>110</v>
      </c>
      <c r="D81" s="6">
        <v>3901</v>
      </c>
    </row>
    <row r="82" spans="1:4" x14ac:dyDescent="0.25">
      <c r="A82" s="1" t="s">
        <v>121</v>
      </c>
      <c r="B82">
        <v>4027</v>
      </c>
      <c r="C82">
        <v>551</v>
      </c>
      <c r="D82" s="6">
        <v>2355</v>
      </c>
    </row>
    <row r="83" spans="1:4" x14ac:dyDescent="0.25">
      <c r="A83" s="1" t="s">
        <v>171</v>
      </c>
      <c r="B83">
        <v>3995</v>
      </c>
      <c r="C83">
        <v>38</v>
      </c>
      <c r="D83" s="6">
        <v>2045</v>
      </c>
    </row>
    <row r="84" spans="1:4" x14ac:dyDescent="0.25">
      <c r="A84" s="1" t="s">
        <v>58</v>
      </c>
      <c r="B84">
        <v>3662</v>
      </c>
      <c r="C84">
        <v>56</v>
      </c>
      <c r="D84" s="1">
        <v>24</v>
      </c>
    </row>
    <row r="85" spans="1:4" x14ac:dyDescent="0.25">
      <c r="A85" s="1" t="s">
        <v>172</v>
      </c>
      <c r="B85">
        <v>3364</v>
      </c>
      <c r="C85">
        <v>164</v>
      </c>
      <c r="D85" s="6">
        <v>1664</v>
      </c>
    </row>
    <row r="86" spans="1:4" x14ac:dyDescent="0.25">
      <c r="A86" s="1" t="s">
        <v>35</v>
      </c>
      <c r="B86">
        <v>3294</v>
      </c>
      <c r="C86">
        <v>21</v>
      </c>
      <c r="D86" s="1">
        <v>956</v>
      </c>
    </row>
    <row r="87" spans="1:4" x14ac:dyDescent="0.25">
      <c r="A87" s="1" t="s">
        <v>46</v>
      </c>
      <c r="B87">
        <v>3273</v>
      </c>
      <c r="C87">
        <v>60</v>
      </c>
      <c r="D87" s="6">
        <v>1438</v>
      </c>
    </row>
    <row r="88" spans="1:4" x14ac:dyDescent="0.25">
      <c r="A88" s="1" t="s">
        <v>144</v>
      </c>
      <c r="B88">
        <v>3125</v>
      </c>
      <c r="C88">
        <v>58</v>
      </c>
      <c r="D88" s="6">
        <v>2981</v>
      </c>
    </row>
    <row r="89" spans="1:4" x14ac:dyDescent="0.25">
      <c r="A89" s="1" t="s">
        <v>119</v>
      </c>
      <c r="B89">
        <v>3058</v>
      </c>
      <c r="C89">
        <v>183</v>
      </c>
      <c r="D89" s="6">
        <v>1374</v>
      </c>
    </row>
    <row r="90" spans="1:4" x14ac:dyDescent="0.25">
      <c r="A90" s="1" t="s">
        <v>29</v>
      </c>
      <c r="B90">
        <v>3094</v>
      </c>
      <c r="C90">
        <v>89</v>
      </c>
      <c r="D90" s="1">
        <v>1048</v>
      </c>
    </row>
    <row r="91" spans="1:4" x14ac:dyDescent="0.25">
      <c r="A91" s="1" t="s">
        <v>132</v>
      </c>
      <c r="B91">
        <v>2889</v>
      </c>
      <c r="C91">
        <v>167</v>
      </c>
      <c r="D91" s="6">
        <v>1623</v>
      </c>
    </row>
    <row r="92" spans="1:4" x14ac:dyDescent="0.25">
      <c r="A92" s="1" t="s">
        <v>173</v>
      </c>
      <c r="B92">
        <v>2775</v>
      </c>
      <c r="C92">
        <v>161</v>
      </c>
      <c r="D92" s="6">
        <v>2063</v>
      </c>
    </row>
    <row r="93" spans="1:4" x14ac:dyDescent="0.25">
      <c r="A93" s="1" t="s">
        <v>174</v>
      </c>
      <c r="B93">
        <v>2632</v>
      </c>
      <c r="C93">
        <v>23</v>
      </c>
      <c r="D93" s="1">
        <v>487</v>
      </c>
    </row>
    <row r="94" spans="1:4" x14ac:dyDescent="0.25">
      <c r="A94" s="1" t="s">
        <v>34</v>
      </c>
      <c r="B94">
        <v>2506</v>
      </c>
      <c r="C94">
        <v>35</v>
      </c>
      <c r="D94" s="1">
        <v>401</v>
      </c>
    </row>
    <row r="95" spans="1:4" x14ac:dyDescent="0.25">
      <c r="A95" s="1" t="s">
        <v>75</v>
      </c>
      <c r="B95">
        <v>2416</v>
      </c>
      <c r="C95">
        <v>85</v>
      </c>
      <c r="D95" s="1">
        <v>489</v>
      </c>
    </row>
    <row r="96" spans="1:4" x14ac:dyDescent="0.25">
      <c r="A96" s="1" t="s">
        <v>120</v>
      </c>
      <c r="B96">
        <v>2247</v>
      </c>
      <c r="C96">
        <v>106</v>
      </c>
      <c r="D96" s="6">
        <v>2130</v>
      </c>
    </row>
    <row r="97" spans="1:4" x14ac:dyDescent="0.25">
      <c r="A97" s="1" t="s">
        <v>61</v>
      </c>
      <c r="B97">
        <v>2205</v>
      </c>
      <c r="C97">
        <v>83</v>
      </c>
      <c r="D97" s="6">
        <v>1880</v>
      </c>
    </row>
    <row r="98" spans="1:4" x14ac:dyDescent="0.25">
      <c r="A98" s="1" t="s">
        <v>115</v>
      </c>
      <c r="B98">
        <v>2093</v>
      </c>
      <c r="C98">
        <v>26</v>
      </c>
      <c r="D98" s="6">
        <v>1572</v>
      </c>
    </row>
    <row r="99" spans="1:4" x14ac:dyDescent="0.25">
      <c r="A99" s="1" t="s">
        <v>126</v>
      </c>
      <c r="B99">
        <v>1958</v>
      </c>
      <c r="C99">
        <v>69</v>
      </c>
      <c r="D99" s="6">
        <v>1690</v>
      </c>
    </row>
    <row r="100" spans="1:4" x14ac:dyDescent="0.25">
      <c r="A100" s="1" t="s">
        <v>141</v>
      </c>
      <c r="B100">
        <v>1942</v>
      </c>
      <c r="C100">
        <v>8</v>
      </c>
      <c r="D100" s="6">
        <v>1010</v>
      </c>
    </row>
    <row r="101" spans="1:4" x14ac:dyDescent="0.25">
      <c r="A101" s="1" t="s">
        <v>140</v>
      </c>
      <c r="B101">
        <v>1859</v>
      </c>
      <c r="C101">
        <v>11</v>
      </c>
      <c r="D101" s="6">
        <v>1057</v>
      </c>
    </row>
    <row r="102" spans="1:4" x14ac:dyDescent="0.25">
      <c r="A102" s="1" t="s">
        <v>5</v>
      </c>
      <c r="B102">
        <v>1850</v>
      </c>
      <c r="C102">
        <v>5</v>
      </c>
      <c r="D102" s="1">
        <v>38</v>
      </c>
    </row>
    <row r="103" spans="1:4" x14ac:dyDescent="0.25">
      <c r="A103" s="1" t="s">
        <v>123</v>
      </c>
      <c r="B103">
        <v>1807</v>
      </c>
      <c r="C103">
        <v>10</v>
      </c>
      <c r="D103" s="6">
        <v>1794</v>
      </c>
    </row>
    <row r="104" spans="1:4" x14ac:dyDescent="0.25">
      <c r="A104" s="1" t="s">
        <v>117</v>
      </c>
      <c r="B104">
        <v>1733</v>
      </c>
      <c r="C104">
        <v>74</v>
      </c>
      <c r="D104" s="6">
        <v>1369</v>
      </c>
    </row>
    <row r="105" spans="1:4" x14ac:dyDescent="0.25">
      <c r="A105" s="1" t="s">
        <v>10</v>
      </c>
      <c r="B105">
        <v>1604</v>
      </c>
      <c r="C105">
        <v>19</v>
      </c>
      <c r="D105" s="1">
        <v>15</v>
      </c>
    </row>
    <row r="106" spans="1:4" x14ac:dyDescent="0.25">
      <c r="A106" s="1" t="s">
        <v>22</v>
      </c>
      <c r="B106">
        <v>1586</v>
      </c>
      <c r="C106">
        <v>94</v>
      </c>
      <c r="D106" s="1">
        <v>931</v>
      </c>
    </row>
    <row r="107" spans="1:4" x14ac:dyDescent="0.25">
      <c r="A107" s="1" t="s">
        <v>102</v>
      </c>
      <c r="B107">
        <v>1533</v>
      </c>
      <c r="C107">
        <v>28</v>
      </c>
      <c r="D107" s="6">
        <v>1404</v>
      </c>
    </row>
    <row r="108" spans="1:4" x14ac:dyDescent="0.25">
      <c r="A108" s="1" t="s">
        <v>103</v>
      </c>
      <c r="B108">
        <v>1486</v>
      </c>
      <c r="C108">
        <v>109</v>
      </c>
      <c r="D108" s="6">
        <v>1359</v>
      </c>
    </row>
    <row r="109" spans="1:4" x14ac:dyDescent="0.25">
      <c r="A109" s="1" t="s">
        <v>51</v>
      </c>
      <c r="B109">
        <v>1464</v>
      </c>
      <c r="C109">
        <v>55</v>
      </c>
      <c r="D109" s="1">
        <v>953</v>
      </c>
    </row>
    <row r="110" spans="1:4" x14ac:dyDescent="0.25">
      <c r="A110" s="1" t="s">
        <v>27</v>
      </c>
      <c r="B110">
        <v>1389</v>
      </c>
      <c r="C110">
        <v>12</v>
      </c>
      <c r="D110" s="1">
        <v>153</v>
      </c>
    </row>
    <row r="111" spans="1:4" x14ac:dyDescent="0.25">
      <c r="A111" s="1" t="s">
        <v>60</v>
      </c>
      <c r="B111">
        <v>1375</v>
      </c>
      <c r="C111">
        <v>11</v>
      </c>
      <c r="D111" s="1">
        <v>717</v>
      </c>
    </row>
    <row r="112" spans="1:4" x14ac:dyDescent="0.25">
      <c r="A112" s="1" t="s">
        <v>86</v>
      </c>
      <c r="B112">
        <v>1368</v>
      </c>
      <c r="C112">
        <v>30</v>
      </c>
      <c r="D112" s="1">
        <v>795</v>
      </c>
    </row>
    <row r="113" spans="1:4" x14ac:dyDescent="0.25">
      <c r="A113" s="1" t="s">
        <v>89</v>
      </c>
      <c r="B113">
        <v>1341</v>
      </c>
      <c r="C113">
        <v>34</v>
      </c>
      <c r="D113" s="1">
        <v>980</v>
      </c>
    </row>
    <row r="114" spans="1:4" x14ac:dyDescent="0.25">
      <c r="A114" s="1" t="s">
        <v>28</v>
      </c>
      <c r="B114">
        <v>1306</v>
      </c>
      <c r="C114">
        <v>12</v>
      </c>
      <c r="D114" s="1">
        <v>200</v>
      </c>
    </row>
    <row r="115" spans="1:4" x14ac:dyDescent="0.25">
      <c r="A115" s="1" t="s">
        <v>175</v>
      </c>
      <c r="B115">
        <v>1263</v>
      </c>
      <c r="C115">
        <v>31</v>
      </c>
      <c r="D115" s="1">
        <v>912</v>
      </c>
    </row>
    <row r="116" spans="1:4" x14ac:dyDescent="0.25">
      <c r="A116" s="1" t="s">
        <v>8</v>
      </c>
      <c r="B116">
        <v>1200</v>
      </c>
      <c r="C116">
        <v>10</v>
      </c>
      <c r="D116" s="1">
        <v>912</v>
      </c>
    </row>
    <row r="117" spans="1:4" x14ac:dyDescent="0.25">
      <c r="A117" s="1" t="s">
        <v>45</v>
      </c>
      <c r="B117">
        <v>1187</v>
      </c>
      <c r="C117">
        <v>11</v>
      </c>
      <c r="D117" s="1">
        <v>604</v>
      </c>
    </row>
    <row r="118" spans="1:4" x14ac:dyDescent="0.25">
      <c r="A118" s="1" t="s">
        <v>24</v>
      </c>
      <c r="B118">
        <v>1162</v>
      </c>
      <c r="C118">
        <v>61</v>
      </c>
      <c r="D118" s="1">
        <v>139</v>
      </c>
    </row>
    <row r="119" spans="1:4" x14ac:dyDescent="0.25">
      <c r="A119" s="1" t="s">
        <v>153</v>
      </c>
      <c r="B119">
        <v>1154</v>
      </c>
      <c r="C119">
        <v>22</v>
      </c>
      <c r="D119" s="6">
        <v>1132</v>
      </c>
    </row>
    <row r="120" spans="1:4" x14ac:dyDescent="0.25">
      <c r="A120" s="1" t="s">
        <v>21</v>
      </c>
      <c r="B120">
        <v>1138</v>
      </c>
      <c r="C120">
        <v>9</v>
      </c>
      <c r="D120" s="1">
        <v>274</v>
      </c>
    </row>
    <row r="121" spans="1:4" x14ac:dyDescent="0.25">
      <c r="A121" s="1" t="s">
        <v>176</v>
      </c>
      <c r="B121">
        <v>1108</v>
      </c>
      <c r="C121">
        <v>4</v>
      </c>
      <c r="D121" s="6">
        <v>1049</v>
      </c>
    </row>
    <row r="122" spans="1:4" x14ac:dyDescent="0.25">
      <c r="A122" s="1" t="s">
        <v>177</v>
      </c>
      <c r="B122">
        <v>1102</v>
      </c>
      <c r="C122">
        <v>1</v>
      </c>
      <c r="D122" s="1">
        <v>53</v>
      </c>
    </row>
    <row r="123" spans="1:4" x14ac:dyDescent="0.25">
      <c r="A123" s="1" t="s">
        <v>109</v>
      </c>
      <c r="B123">
        <v>1092</v>
      </c>
      <c r="C123">
        <v>26</v>
      </c>
      <c r="D123" s="1">
        <v>794</v>
      </c>
    </row>
    <row r="124" spans="1:4" x14ac:dyDescent="0.25">
      <c r="A124" s="1" t="s">
        <v>76</v>
      </c>
      <c r="B124">
        <v>1087</v>
      </c>
      <c r="C124">
        <v>49</v>
      </c>
      <c r="D124" s="1">
        <v>982</v>
      </c>
    </row>
    <row r="125" spans="1:4" x14ac:dyDescent="0.25">
      <c r="A125" s="1" t="s">
        <v>178</v>
      </c>
      <c r="B125">
        <v>1081</v>
      </c>
      <c r="C125">
        <v>0</v>
      </c>
      <c r="D125" s="1">
        <v>0</v>
      </c>
    </row>
    <row r="126" spans="1:4" x14ac:dyDescent="0.25">
      <c r="A126" s="1" t="s">
        <v>20</v>
      </c>
      <c r="B126">
        <v>1025</v>
      </c>
      <c r="C126">
        <v>50</v>
      </c>
      <c r="D126" s="1">
        <v>621</v>
      </c>
    </row>
    <row r="127" spans="1:4" x14ac:dyDescent="0.25">
      <c r="A127" s="1" t="s">
        <v>16</v>
      </c>
      <c r="B127">
        <v>974</v>
      </c>
      <c r="C127">
        <v>65</v>
      </c>
      <c r="D127" s="1">
        <v>871</v>
      </c>
    </row>
    <row r="128" spans="1:4" x14ac:dyDescent="0.25">
      <c r="A128" s="1" t="s">
        <v>135</v>
      </c>
      <c r="B128">
        <v>972</v>
      </c>
      <c r="C128">
        <v>18</v>
      </c>
      <c r="D128" s="1">
        <v>807</v>
      </c>
    </row>
    <row r="129" spans="1:4" x14ac:dyDescent="0.25">
      <c r="A129" s="1" t="s">
        <v>3</v>
      </c>
      <c r="B129">
        <v>891</v>
      </c>
      <c r="C129">
        <v>53</v>
      </c>
      <c r="D129" s="1">
        <v>765</v>
      </c>
    </row>
    <row r="130" spans="1:4" x14ac:dyDescent="0.25">
      <c r="A130" s="1" t="s">
        <v>90</v>
      </c>
      <c r="B130">
        <v>852</v>
      </c>
      <c r="C130">
        <v>51</v>
      </c>
      <c r="D130" s="1">
        <v>751</v>
      </c>
    </row>
    <row r="131" spans="1:4" x14ac:dyDescent="0.25">
      <c r="A131" s="1" t="s">
        <v>48</v>
      </c>
      <c r="B131">
        <v>846</v>
      </c>
      <c r="C131">
        <v>23</v>
      </c>
      <c r="D131" s="1">
        <v>754</v>
      </c>
    </row>
    <row r="132" spans="1:4" x14ac:dyDescent="0.25">
      <c r="A132" s="1" t="s">
        <v>84</v>
      </c>
      <c r="B132">
        <v>845</v>
      </c>
      <c r="C132">
        <v>9</v>
      </c>
      <c r="D132" s="1">
        <v>657</v>
      </c>
    </row>
    <row r="133" spans="1:4" x14ac:dyDescent="0.25">
      <c r="A133" s="1" t="s">
        <v>13</v>
      </c>
      <c r="B133">
        <v>844</v>
      </c>
      <c r="C133">
        <v>71</v>
      </c>
      <c r="D133" s="1">
        <v>706</v>
      </c>
    </row>
    <row r="134" spans="1:4" x14ac:dyDescent="0.25">
      <c r="A134" s="1" t="s">
        <v>129</v>
      </c>
      <c r="B134">
        <v>822</v>
      </c>
      <c r="C134">
        <v>13</v>
      </c>
      <c r="D134" s="1">
        <v>690</v>
      </c>
    </row>
    <row r="135" spans="1:4" x14ac:dyDescent="0.25">
      <c r="A135" s="1" t="s">
        <v>39</v>
      </c>
      <c r="B135">
        <v>728</v>
      </c>
      <c r="C135">
        <v>24</v>
      </c>
      <c r="D135" s="1">
        <v>221</v>
      </c>
    </row>
    <row r="136" spans="1:4" x14ac:dyDescent="0.25">
      <c r="A136" s="1" t="s">
        <v>180</v>
      </c>
      <c r="B136">
        <v>718</v>
      </c>
      <c r="C136">
        <v>28</v>
      </c>
      <c r="D136" s="1">
        <v>169</v>
      </c>
    </row>
    <row r="137" spans="1:4" x14ac:dyDescent="0.25">
      <c r="A137" s="1" t="s">
        <v>179</v>
      </c>
      <c r="B137">
        <v>712</v>
      </c>
      <c r="C137">
        <v>14</v>
      </c>
      <c r="D137" s="1">
        <v>653</v>
      </c>
    </row>
    <row r="138" spans="1:4" x14ac:dyDescent="0.25">
      <c r="A138" s="1" t="s">
        <v>100</v>
      </c>
      <c r="B138">
        <v>688</v>
      </c>
      <c r="C138">
        <v>42</v>
      </c>
      <c r="D138" s="1">
        <v>483</v>
      </c>
    </row>
    <row r="139" spans="1:4" x14ac:dyDescent="0.25">
      <c r="A139" s="1" t="s">
        <v>6</v>
      </c>
      <c r="B139">
        <v>657</v>
      </c>
      <c r="C139">
        <v>0</v>
      </c>
      <c r="D139" s="1">
        <v>118</v>
      </c>
    </row>
    <row r="140" spans="1:4" x14ac:dyDescent="0.25">
      <c r="A140" s="1" t="s">
        <v>111</v>
      </c>
      <c r="B140">
        <v>632</v>
      </c>
      <c r="C140">
        <v>9</v>
      </c>
      <c r="D140" s="1">
        <v>597</v>
      </c>
    </row>
    <row r="141" spans="1:4" x14ac:dyDescent="0.25">
      <c r="A141" s="1" t="s">
        <v>59</v>
      </c>
      <c r="B141">
        <v>599</v>
      </c>
      <c r="C141">
        <v>10</v>
      </c>
      <c r="D141" s="1">
        <v>405</v>
      </c>
    </row>
    <row r="142" spans="1:4" x14ac:dyDescent="0.25">
      <c r="A142" s="1" t="s">
        <v>181</v>
      </c>
      <c r="B142">
        <v>585</v>
      </c>
      <c r="C142">
        <v>5</v>
      </c>
      <c r="D142" s="1">
        <v>270</v>
      </c>
    </row>
    <row r="143" spans="1:4" x14ac:dyDescent="0.25">
      <c r="A143" s="1" t="s">
        <v>77</v>
      </c>
      <c r="B143">
        <v>524</v>
      </c>
      <c r="C143">
        <v>127</v>
      </c>
      <c r="D143" s="1">
        <v>23</v>
      </c>
    </row>
    <row r="144" spans="1:4" x14ac:dyDescent="0.25">
      <c r="A144" s="1" t="s">
        <v>182</v>
      </c>
      <c r="B144">
        <v>514</v>
      </c>
      <c r="C144">
        <v>12</v>
      </c>
      <c r="D144" s="1">
        <v>76</v>
      </c>
    </row>
    <row r="145" spans="1:4" x14ac:dyDescent="0.25">
      <c r="A145" s="1" t="s">
        <v>183</v>
      </c>
      <c r="B145">
        <v>509</v>
      </c>
      <c r="C145">
        <v>21</v>
      </c>
      <c r="D145" s="1">
        <v>183</v>
      </c>
    </row>
    <row r="146" spans="1:4" x14ac:dyDescent="0.25">
      <c r="A146" s="1" t="s">
        <v>14</v>
      </c>
      <c r="B146">
        <v>501</v>
      </c>
      <c r="C146">
        <v>13</v>
      </c>
      <c r="D146" s="1">
        <v>260</v>
      </c>
    </row>
    <row r="147" spans="1:4" x14ac:dyDescent="0.25">
      <c r="A147" s="1" t="s">
        <v>184</v>
      </c>
      <c r="B147">
        <v>481</v>
      </c>
      <c r="C147">
        <v>3</v>
      </c>
      <c r="D147" s="1">
        <v>404</v>
      </c>
    </row>
    <row r="148" spans="1:4" x14ac:dyDescent="0.25">
      <c r="A148" s="1" t="s">
        <v>18</v>
      </c>
      <c r="B148">
        <v>463</v>
      </c>
      <c r="C148">
        <v>2</v>
      </c>
      <c r="D148" s="1">
        <v>300</v>
      </c>
    </row>
    <row r="149" spans="1:4" x14ac:dyDescent="0.25">
      <c r="A149" s="1" t="s">
        <v>26</v>
      </c>
      <c r="B149">
        <v>455</v>
      </c>
      <c r="C149">
        <v>4</v>
      </c>
      <c r="D149" s="1">
        <v>55</v>
      </c>
    </row>
    <row r="150" spans="1:4" x14ac:dyDescent="0.25">
      <c r="A150" s="1" t="s">
        <v>23</v>
      </c>
      <c r="B150">
        <v>453</v>
      </c>
      <c r="C150">
        <v>2</v>
      </c>
      <c r="D150" s="1">
        <v>136</v>
      </c>
    </row>
    <row r="151" spans="1:4" x14ac:dyDescent="0.25">
      <c r="A151" s="1" t="s">
        <v>185</v>
      </c>
      <c r="B151">
        <v>443</v>
      </c>
      <c r="C151">
        <v>7</v>
      </c>
      <c r="D151" s="1">
        <v>430</v>
      </c>
    </row>
    <row r="152" spans="1:4" x14ac:dyDescent="0.25">
      <c r="A152" s="1" t="s">
        <v>187</v>
      </c>
      <c r="B152">
        <v>430</v>
      </c>
      <c r="C152">
        <v>24</v>
      </c>
      <c r="D152" s="1">
        <v>64</v>
      </c>
    </row>
    <row r="153" spans="1:4" x14ac:dyDescent="0.25">
      <c r="A153" s="1" t="s">
        <v>186</v>
      </c>
      <c r="B153">
        <v>429</v>
      </c>
      <c r="C153">
        <v>9</v>
      </c>
      <c r="D153" s="1">
        <v>357</v>
      </c>
    </row>
    <row r="154" spans="1:4" x14ac:dyDescent="0.25">
      <c r="A154" s="1" t="s">
        <v>30</v>
      </c>
      <c r="B154">
        <v>383</v>
      </c>
      <c r="C154">
        <v>31</v>
      </c>
      <c r="D154" s="1">
        <v>199</v>
      </c>
    </row>
    <row r="155" spans="1:4" x14ac:dyDescent="0.25">
      <c r="A155" s="1" t="s">
        <v>11</v>
      </c>
      <c r="B155">
        <v>371</v>
      </c>
      <c r="C155">
        <v>3</v>
      </c>
      <c r="D155" s="1">
        <v>232</v>
      </c>
    </row>
    <row r="156" spans="1:4" x14ac:dyDescent="0.25">
      <c r="A156" s="1" t="s">
        <v>87</v>
      </c>
      <c r="B156">
        <v>359</v>
      </c>
      <c r="C156">
        <v>5</v>
      </c>
      <c r="D156" s="1">
        <v>58</v>
      </c>
    </row>
    <row r="157" spans="1:4" x14ac:dyDescent="0.25">
      <c r="A157" s="1" t="s">
        <v>25</v>
      </c>
      <c r="B157">
        <v>337</v>
      </c>
      <c r="C157">
        <v>10</v>
      </c>
      <c r="D157" s="1">
        <v>324</v>
      </c>
    </row>
    <row r="158" spans="1:4" x14ac:dyDescent="0.25">
      <c r="A158" s="1" t="s">
        <v>188</v>
      </c>
      <c r="B158">
        <v>336</v>
      </c>
      <c r="C158">
        <v>24</v>
      </c>
      <c r="D158" s="1">
        <v>312</v>
      </c>
    </row>
    <row r="159" spans="1:4" x14ac:dyDescent="0.25">
      <c r="A159" s="1" t="s">
        <v>189</v>
      </c>
      <c r="B159">
        <v>332</v>
      </c>
      <c r="C159">
        <v>0</v>
      </c>
      <c r="D159" s="1">
        <v>316</v>
      </c>
    </row>
    <row r="160" spans="1:4" x14ac:dyDescent="0.25">
      <c r="A160" s="1" t="s">
        <v>112</v>
      </c>
      <c r="B160">
        <v>324</v>
      </c>
      <c r="C160">
        <v>9</v>
      </c>
      <c r="D160" s="1">
        <v>315</v>
      </c>
    </row>
    <row r="161" spans="1:4" x14ac:dyDescent="0.25">
      <c r="A161" s="1" t="s">
        <v>9</v>
      </c>
      <c r="B161">
        <v>314</v>
      </c>
      <c r="C161">
        <v>4</v>
      </c>
      <c r="D161" s="1">
        <v>46</v>
      </c>
    </row>
    <row r="162" spans="1:4" x14ac:dyDescent="0.25">
      <c r="A162" s="1" t="s">
        <v>190</v>
      </c>
      <c r="B162">
        <v>312</v>
      </c>
      <c r="C162">
        <v>30</v>
      </c>
      <c r="D162" s="1">
        <v>290</v>
      </c>
    </row>
    <row r="163" spans="1:4" x14ac:dyDescent="0.25">
      <c r="A163" s="1" t="s">
        <v>2</v>
      </c>
      <c r="B163">
        <v>305</v>
      </c>
      <c r="C163">
        <v>4</v>
      </c>
      <c r="D163" s="1">
        <v>188</v>
      </c>
    </row>
    <row r="164" spans="1:4" x14ac:dyDescent="0.25">
      <c r="A164" s="1" t="s">
        <v>191</v>
      </c>
      <c r="B164">
        <v>252</v>
      </c>
      <c r="C164">
        <v>13</v>
      </c>
      <c r="D164" s="1">
        <v>238</v>
      </c>
    </row>
    <row r="165" spans="1:4" x14ac:dyDescent="0.25">
      <c r="A165" s="1" t="s">
        <v>142</v>
      </c>
      <c r="B165">
        <v>246</v>
      </c>
      <c r="C165">
        <v>6</v>
      </c>
      <c r="D165" s="1">
        <v>159</v>
      </c>
    </row>
    <row r="166" spans="1:4" x14ac:dyDescent="0.25">
      <c r="A166" s="1" t="s">
        <v>151</v>
      </c>
      <c r="B166">
        <v>194</v>
      </c>
      <c r="C166">
        <v>0</v>
      </c>
      <c r="D166" s="1">
        <v>75</v>
      </c>
    </row>
    <row r="167" spans="1:4" x14ac:dyDescent="0.25">
      <c r="A167" s="1" t="s">
        <v>192</v>
      </c>
      <c r="B167">
        <v>187</v>
      </c>
      <c r="C167">
        <v>0</v>
      </c>
      <c r="D167" s="1">
        <v>187</v>
      </c>
    </row>
    <row r="168" spans="1:4" x14ac:dyDescent="0.25">
      <c r="A168" s="1" t="s">
        <v>193</v>
      </c>
      <c r="B168">
        <v>180</v>
      </c>
      <c r="C168">
        <v>5</v>
      </c>
      <c r="D168" s="1">
        <v>163</v>
      </c>
    </row>
    <row r="169" spans="1:4" x14ac:dyDescent="0.25">
      <c r="A169" s="1" t="s">
        <v>194</v>
      </c>
      <c r="B169">
        <v>176</v>
      </c>
      <c r="C169">
        <v>0</v>
      </c>
      <c r="D169" s="1">
        <v>164</v>
      </c>
    </row>
    <row r="170" spans="1:4" x14ac:dyDescent="0.25">
      <c r="A170" s="1" t="s">
        <v>195</v>
      </c>
      <c r="B170">
        <v>176</v>
      </c>
      <c r="C170">
        <v>1</v>
      </c>
      <c r="D170" s="1">
        <v>104</v>
      </c>
    </row>
    <row r="171" spans="1:4" x14ac:dyDescent="0.25">
      <c r="A171" s="1" t="s">
        <v>56</v>
      </c>
      <c r="B171">
        <v>156</v>
      </c>
      <c r="C171">
        <v>12</v>
      </c>
      <c r="D171" s="1">
        <v>86</v>
      </c>
    </row>
    <row r="172" spans="1:4" x14ac:dyDescent="0.25">
      <c r="A172" s="1" t="s">
        <v>196</v>
      </c>
      <c r="B172">
        <v>148</v>
      </c>
      <c r="C172">
        <v>0</v>
      </c>
      <c r="D172" s="1">
        <v>0</v>
      </c>
    </row>
    <row r="173" spans="1:4" x14ac:dyDescent="0.25">
      <c r="A173" s="1" t="s">
        <v>200</v>
      </c>
      <c r="B173">
        <v>146</v>
      </c>
      <c r="C173">
        <v>6</v>
      </c>
      <c r="D173" s="1">
        <v>62</v>
      </c>
    </row>
    <row r="174" spans="1:4" x14ac:dyDescent="0.25">
      <c r="A174" s="1" t="s">
        <v>197</v>
      </c>
      <c r="B174">
        <v>141</v>
      </c>
      <c r="C174">
        <v>9</v>
      </c>
      <c r="D174" s="1">
        <v>114</v>
      </c>
    </row>
    <row r="175" spans="1:4" x14ac:dyDescent="0.25">
      <c r="A175" s="1" t="s">
        <v>198</v>
      </c>
      <c r="B175">
        <v>141</v>
      </c>
      <c r="C175">
        <v>2</v>
      </c>
      <c r="D175" s="1">
        <v>138</v>
      </c>
    </row>
    <row r="176" spans="1:4" x14ac:dyDescent="0.25">
      <c r="A176" s="1" t="s">
        <v>40</v>
      </c>
      <c r="B176">
        <v>141</v>
      </c>
      <c r="C176">
        <v>2</v>
      </c>
      <c r="D176" s="1">
        <v>67</v>
      </c>
    </row>
    <row r="177" spans="1:4" x14ac:dyDescent="0.25">
      <c r="A177" s="1" t="s">
        <v>47</v>
      </c>
      <c r="B177">
        <v>137</v>
      </c>
      <c r="C177">
        <v>2</v>
      </c>
      <c r="D177" s="1">
        <v>9</v>
      </c>
    </row>
    <row r="178" spans="1:4" x14ac:dyDescent="0.25">
      <c r="A178" s="1" t="s">
        <v>199</v>
      </c>
      <c r="B178">
        <v>128</v>
      </c>
      <c r="C178">
        <v>1</v>
      </c>
      <c r="D178" s="1" t="s">
        <v>164</v>
      </c>
    </row>
    <row r="179" spans="1:4" x14ac:dyDescent="0.25">
      <c r="A179" s="1" t="s">
        <v>155</v>
      </c>
      <c r="B179">
        <v>126</v>
      </c>
      <c r="C179">
        <v>0</v>
      </c>
      <c r="D179" s="1">
        <v>125</v>
      </c>
    </row>
    <row r="180" spans="1:4" x14ac:dyDescent="0.25">
      <c r="A180" s="1" t="s">
        <v>201</v>
      </c>
      <c r="B180">
        <v>117</v>
      </c>
      <c r="C180">
        <v>8</v>
      </c>
      <c r="D180" s="1">
        <v>108</v>
      </c>
    </row>
    <row r="181" spans="1:4" x14ac:dyDescent="0.25">
      <c r="A181" s="1" t="s">
        <v>202</v>
      </c>
      <c r="B181">
        <v>108</v>
      </c>
      <c r="C181">
        <v>4</v>
      </c>
      <c r="D181" s="1">
        <v>104</v>
      </c>
    </row>
    <row r="182" spans="1:4" x14ac:dyDescent="0.25">
      <c r="A182" s="1" t="s">
        <v>42</v>
      </c>
      <c r="B182">
        <v>103</v>
      </c>
      <c r="C182">
        <v>11</v>
      </c>
      <c r="D182" s="1">
        <v>62</v>
      </c>
    </row>
    <row r="183" spans="1:4" x14ac:dyDescent="0.25">
      <c r="A183" s="1" t="s">
        <v>203</v>
      </c>
      <c r="B183">
        <v>101</v>
      </c>
      <c r="C183">
        <v>3</v>
      </c>
      <c r="D183" s="1">
        <v>98</v>
      </c>
    </row>
    <row r="184" spans="1:4" x14ac:dyDescent="0.25">
      <c r="A184" s="1" t="s">
        <v>110</v>
      </c>
      <c r="B184">
        <v>99</v>
      </c>
      <c r="C184">
        <v>4</v>
      </c>
      <c r="D184" s="1">
        <v>93</v>
      </c>
    </row>
    <row r="185" spans="1:4" x14ac:dyDescent="0.25">
      <c r="A185" s="1" t="s">
        <v>0</v>
      </c>
      <c r="B185">
        <v>96</v>
      </c>
      <c r="C185">
        <v>4</v>
      </c>
      <c r="D185" s="1">
        <v>38</v>
      </c>
    </row>
    <row r="186" spans="1:4" x14ac:dyDescent="0.25">
      <c r="A186" s="1" t="s">
        <v>66</v>
      </c>
      <c r="B186">
        <v>92</v>
      </c>
      <c r="C186">
        <v>7</v>
      </c>
      <c r="D186" s="1">
        <v>81</v>
      </c>
    </row>
    <row r="187" spans="1:4" x14ac:dyDescent="0.25">
      <c r="A187" s="1" t="s">
        <v>1</v>
      </c>
      <c r="B187">
        <v>83</v>
      </c>
      <c r="C187">
        <v>1</v>
      </c>
      <c r="D187" s="1">
        <v>45</v>
      </c>
    </row>
    <row r="188" spans="1:4" x14ac:dyDescent="0.25">
      <c r="A188" s="1" t="s">
        <v>116</v>
      </c>
      <c r="B188">
        <v>82</v>
      </c>
      <c r="C188">
        <v>1</v>
      </c>
      <c r="D188" s="1">
        <v>55</v>
      </c>
    </row>
    <row r="189" spans="1:4" x14ac:dyDescent="0.25">
      <c r="A189" s="1" t="s">
        <v>204</v>
      </c>
      <c r="B189">
        <v>77</v>
      </c>
      <c r="C189">
        <v>15</v>
      </c>
      <c r="D189" s="1">
        <v>61</v>
      </c>
    </row>
    <row r="190" spans="1:4" x14ac:dyDescent="0.25">
      <c r="A190" s="1" t="s">
        <v>205</v>
      </c>
      <c r="B190">
        <v>71</v>
      </c>
      <c r="C190">
        <v>6</v>
      </c>
      <c r="D190" s="1">
        <v>63</v>
      </c>
    </row>
    <row r="191" spans="1:4" x14ac:dyDescent="0.25">
      <c r="A191" s="1" t="s">
        <v>206</v>
      </c>
      <c r="B191">
        <v>60</v>
      </c>
      <c r="C191">
        <v>0</v>
      </c>
      <c r="D191" s="1">
        <v>60</v>
      </c>
    </row>
    <row r="192" spans="1:4" x14ac:dyDescent="0.25">
      <c r="A192" s="1" t="s">
        <v>137</v>
      </c>
      <c r="B192">
        <v>59</v>
      </c>
      <c r="C192">
        <v>0</v>
      </c>
      <c r="D192" s="1">
        <v>18</v>
      </c>
    </row>
    <row r="193" spans="1:4" x14ac:dyDescent="0.25">
      <c r="A193" s="1" t="s">
        <v>207</v>
      </c>
      <c r="B193">
        <v>64</v>
      </c>
      <c r="C193">
        <v>0</v>
      </c>
      <c r="D193" s="1">
        <v>43</v>
      </c>
    </row>
    <row r="194" spans="1:4" x14ac:dyDescent="0.25">
      <c r="A194" s="1" t="s">
        <v>208</v>
      </c>
      <c r="B194">
        <v>57</v>
      </c>
      <c r="C194">
        <v>0</v>
      </c>
      <c r="D194" s="1">
        <v>31</v>
      </c>
    </row>
    <row r="195" spans="1:4" x14ac:dyDescent="0.25">
      <c r="A195" s="1" t="s">
        <v>209</v>
      </c>
      <c r="B195">
        <v>45</v>
      </c>
      <c r="C195">
        <v>0</v>
      </c>
      <c r="D195" s="1">
        <v>45</v>
      </c>
    </row>
    <row r="196" spans="1:4" x14ac:dyDescent="0.25">
      <c r="A196" s="1" t="s">
        <v>4</v>
      </c>
      <c r="B196">
        <v>42</v>
      </c>
      <c r="C196">
        <v>1</v>
      </c>
      <c r="D196" s="1">
        <v>24</v>
      </c>
    </row>
    <row r="197" spans="1:4" x14ac:dyDescent="0.25">
      <c r="A197" s="1" t="s">
        <v>33</v>
      </c>
      <c r="B197">
        <v>39</v>
      </c>
      <c r="C197">
        <v>0</v>
      </c>
      <c r="D197" s="1">
        <v>39</v>
      </c>
    </row>
    <row r="198" spans="1:4" x14ac:dyDescent="0.25">
      <c r="A198" s="1" t="s">
        <v>210</v>
      </c>
      <c r="B198">
        <v>35</v>
      </c>
      <c r="C198">
        <v>1</v>
      </c>
      <c r="D198" s="1">
        <v>27</v>
      </c>
    </row>
    <row r="199" spans="1:4" x14ac:dyDescent="0.25">
      <c r="A199" s="1" t="s">
        <v>15</v>
      </c>
      <c r="B199">
        <v>31</v>
      </c>
      <c r="C199">
        <v>0</v>
      </c>
      <c r="D199" s="1">
        <v>17</v>
      </c>
    </row>
    <row r="200" spans="1:4" x14ac:dyDescent="0.25">
      <c r="A200" s="1" t="s">
        <v>212</v>
      </c>
      <c r="B200">
        <v>30</v>
      </c>
      <c r="C200">
        <v>2</v>
      </c>
      <c r="D200" s="1">
        <v>19</v>
      </c>
    </row>
    <row r="201" spans="1:4" x14ac:dyDescent="0.25">
      <c r="A201" s="1" t="s">
        <v>213</v>
      </c>
      <c r="B201">
        <v>28</v>
      </c>
      <c r="C201">
        <v>1</v>
      </c>
      <c r="D201" s="1">
        <v>21</v>
      </c>
    </row>
    <row r="202" spans="1:4" x14ac:dyDescent="0.25">
      <c r="A202" s="1" t="s">
        <v>214</v>
      </c>
      <c r="B202">
        <v>27</v>
      </c>
      <c r="C202">
        <v>0</v>
      </c>
      <c r="D202" s="1">
        <v>16</v>
      </c>
    </row>
    <row r="203" spans="1:4" x14ac:dyDescent="0.25">
      <c r="A203" s="1" t="s">
        <v>211</v>
      </c>
      <c r="B203">
        <v>26</v>
      </c>
      <c r="C203">
        <v>3</v>
      </c>
      <c r="D203" s="1">
        <v>20</v>
      </c>
    </row>
    <row r="204" spans="1:4" x14ac:dyDescent="0.25">
      <c r="A204" s="1" t="s">
        <v>215</v>
      </c>
      <c r="B204">
        <v>24</v>
      </c>
      <c r="C204">
        <v>0</v>
      </c>
      <c r="D204" s="1">
        <v>24</v>
      </c>
    </row>
    <row r="205" spans="1:4" x14ac:dyDescent="0.25">
      <c r="A205" s="1" t="s">
        <v>54</v>
      </c>
      <c r="B205">
        <v>23</v>
      </c>
      <c r="C205">
        <v>0</v>
      </c>
      <c r="D205" s="1">
        <v>22</v>
      </c>
    </row>
    <row r="206" spans="1:4" x14ac:dyDescent="0.25">
      <c r="A206" s="1" t="s">
        <v>216</v>
      </c>
      <c r="B206">
        <v>21</v>
      </c>
      <c r="C206">
        <v>1</v>
      </c>
      <c r="D206" s="1">
        <v>16</v>
      </c>
    </row>
    <row r="207" spans="1:4" x14ac:dyDescent="0.25">
      <c r="A207" s="1" t="s">
        <v>217</v>
      </c>
      <c r="B207">
        <v>21</v>
      </c>
      <c r="C207">
        <v>0</v>
      </c>
      <c r="D207" s="1">
        <v>20</v>
      </c>
    </row>
    <row r="208" spans="1:4" x14ac:dyDescent="0.25">
      <c r="A208" s="1" t="s">
        <v>43</v>
      </c>
      <c r="B208">
        <v>20</v>
      </c>
      <c r="C208">
        <v>2</v>
      </c>
      <c r="D208" s="1">
        <v>16</v>
      </c>
    </row>
    <row r="209" spans="1:4" x14ac:dyDescent="0.25">
      <c r="A209" s="1" t="s">
        <v>218</v>
      </c>
      <c r="B209">
        <v>19</v>
      </c>
      <c r="C209">
        <v>0</v>
      </c>
      <c r="D209" s="1">
        <v>19</v>
      </c>
    </row>
    <row r="210" spans="1:4" x14ac:dyDescent="0.25">
      <c r="A210" s="1" t="s">
        <v>49</v>
      </c>
      <c r="B210">
        <v>19</v>
      </c>
      <c r="C210">
        <v>0</v>
      </c>
      <c r="D210" s="1">
        <v>18</v>
      </c>
    </row>
    <row r="211" spans="1:4" x14ac:dyDescent="0.25">
      <c r="A211" s="1" t="s">
        <v>147</v>
      </c>
      <c r="B211">
        <v>18</v>
      </c>
      <c r="C211">
        <v>0</v>
      </c>
      <c r="D211" s="1">
        <v>18</v>
      </c>
    </row>
    <row r="212" spans="1:4" x14ac:dyDescent="0.25">
      <c r="A212" s="1" t="s">
        <v>62</v>
      </c>
      <c r="B212">
        <v>18</v>
      </c>
      <c r="C212">
        <v>0</v>
      </c>
      <c r="D212" s="1">
        <v>16</v>
      </c>
    </row>
    <row r="213" spans="1:4" x14ac:dyDescent="0.25">
      <c r="A213" s="1" t="s">
        <v>219</v>
      </c>
      <c r="B213">
        <v>15</v>
      </c>
      <c r="C213">
        <v>0</v>
      </c>
      <c r="D213" s="1">
        <v>15</v>
      </c>
    </row>
    <row r="214" spans="1:4" x14ac:dyDescent="0.25">
      <c r="A214" s="1" t="s">
        <v>220</v>
      </c>
      <c r="B214">
        <v>13</v>
      </c>
      <c r="C214">
        <v>0</v>
      </c>
      <c r="D214" s="1">
        <v>13</v>
      </c>
    </row>
    <row r="215" spans="1:4" x14ac:dyDescent="0.25">
      <c r="A215" s="1" t="s">
        <v>221</v>
      </c>
      <c r="B215">
        <v>13</v>
      </c>
      <c r="C215">
        <v>0</v>
      </c>
      <c r="D215" s="1">
        <v>13</v>
      </c>
    </row>
    <row r="216" spans="1:4" x14ac:dyDescent="0.25">
      <c r="A216" s="1" t="s">
        <v>222</v>
      </c>
      <c r="B216">
        <v>13</v>
      </c>
      <c r="C216">
        <v>4</v>
      </c>
      <c r="D216" s="1" t="s">
        <v>164</v>
      </c>
    </row>
    <row r="217" spans="1:4" x14ac:dyDescent="0.25">
      <c r="A217" s="1" t="s">
        <v>223</v>
      </c>
      <c r="B217">
        <v>12</v>
      </c>
      <c r="C217">
        <v>2</v>
      </c>
      <c r="D217" s="1" t="s">
        <v>164</v>
      </c>
    </row>
    <row r="218" spans="1:4" x14ac:dyDescent="0.25">
      <c r="A218" s="1" t="s">
        <v>224</v>
      </c>
      <c r="B218">
        <v>12</v>
      </c>
      <c r="C218">
        <v>1</v>
      </c>
      <c r="D218" s="1">
        <v>10</v>
      </c>
    </row>
    <row r="219" spans="1:4" x14ac:dyDescent="0.25">
      <c r="A219" s="1" t="s">
        <v>225</v>
      </c>
      <c r="B219">
        <v>12</v>
      </c>
      <c r="C219">
        <v>0</v>
      </c>
      <c r="D219" s="1">
        <v>12</v>
      </c>
    </row>
    <row r="220" spans="1:4" x14ac:dyDescent="0.25">
      <c r="A220" s="1" t="s">
        <v>226</v>
      </c>
      <c r="B220">
        <v>11</v>
      </c>
      <c r="C220">
        <v>1</v>
      </c>
      <c r="D220" s="1">
        <v>10</v>
      </c>
    </row>
    <row r="221" spans="1:4" x14ac:dyDescent="0.25">
      <c r="A221" s="1" t="s">
        <v>12</v>
      </c>
      <c r="B221">
        <v>11</v>
      </c>
      <c r="C221">
        <v>0</v>
      </c>
      <c r="D221" s="1">
        <v>11</v>
      </c>
    </row>
    <row r="222" spans="1:4" x14ac:dyDescent="0.25">
      <c r="A222" s="1" t="s">
        <v>227</v>
      </c>
      <c r="B222">
        <v>8</v>
      </c>
      <c r="C222">
        <v>1</v>
      </c>
      <c r="D222" s="1">
        <v>7</v>
      </c>
    </row>
    <row r="223" spans="1:4" x14ac:dyDescent="0.25">
      <c r="A223" s="1" t="s">
        <v>228</v>
      </c>
      <c r="B223">
        <v>8</v>
      </c>
      <c r="C223">
        <v>0</v>
      </c>
      <c r="D223" s="1" t="s">
        <v>164</v>
      </c>
    </row>
    <row r="224" spans="1:4" x14ac:dyDescent="0.25">
      <c r="A224" s="1" t="s">
        <v>149</v>
      </c>
      <c r="B224">
        <v>8</v>
      </c>
      <c r="C224">
        <v>0</v>
      </c>
      <c r="D224" s="1">
        <v>8</v>
      </c>
    </row>
    <row r="225" spans="1:4" x14ac:dyDescent="0.25">
      <c r="A225" s="1" t="s">
        <v>31</v>
      </c>
      <c r="B225">
        <v>4</v>
      </c>
      <c r="C225">
        <v>0</v>
      </c>
      <c r="D225" s="1">
        <v>2</v>
      </c>
    </row>
    <row r="226" spans="1:4" x14ac:dyDescent="0.25">
      <c r="A226" s="1" t="s">
        <v>229</v>
      </c>
      <c r="B226">
        <v>3</v>
      </c>
      <c r="C226">
        <v>0</v>
      </c>
      <c r="D226" s="1">
        <v>3</v>
      </c>
    </row>
    <row r="227" spans="1:4" x14ac:dyDescent="0.25">
      <c r="A227" s="1" t="s">
        <v>230</v>
      </c>
      <c r="B227">
        <v>3</v>
      </c>
      <c r="C227">
        <v>0</v>
      </c>
      <c r="D227" s="1">
        <v>3</v>
      </c>
    </row>
    <row r="228" spans="1:4" x14ac:dyDescent="0.25">
      <c r="A228" s="1" t="s">
        <v>231</v>
      </c>
      <c r="B228">
        <v>2</v>
      </c>
      <c r="C228">
        <v>0</v>
      </c>
      <c r="D228" s="1">
        <v>2</v>
      </c>
    </row>
    <row r="229" spans="1:4" x14ac:dyDescent="0.25">
      <c r="A229" s="1" t="s">
        <v>232</v>
      </c>
      <c r="B229">
        <v>2</v>
      </c>
      <c r="C229">
        <v>0</v>
      </c>
      <c r="D229" s="1">
        <v>2</v>
      </c>
    </row>
    <row r="230" spans="1:4" x14ac:dyDescent="0.25">
      <c r="A230" s="1" t="s">
        <v>233</v>
      </c>
      <c r="B230">
        <v>1</v>
      </c>
      <c r="C230">
        <v>0</v>
      </c>
      <c r="D230" s="1">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D9159-BA9F-4BCE-8266-519AF4F20FA1}">
  <sheetPr codeName="Sheet4"/>
  <dimension ref="A1:S234"/>
  <sheetViews>
    <sheetView tabSelected="1" workbookViewId="0">
      <selection activeCell="C17" sqref="C17"/>
    </sheetView>
  </sheetViews>
  <sheetFormatPr defaultRowHeight="15" x14ac:dyDescent="0.25"/>
  <cols>
    <col min="1" max="1" width="15.42578125" bestFit="1" customWidth="1"/>
    <col min="2" max="2" width="24.7109375" style="3" customWidth="1"/>
    <col min="3" max="3" width="9" style="3" bestFit="1" customWidth="1"/>
    <col min="4" max="4" width="11.85546875" style="3" bestFit="1" customWidth="1"/>
    <col min="7" max="7" width="14.140625" bestFit="1" customWidth="1"/>
  </cols>
  <sheetData>
    <row r="1" spans="1:4" ht="15.75" thickBot="1" x14ac:dyDescent="0.3">
      <c r="A1" s="8" t="s">
        <v>238</v>
      </c>
      <c r="B1" s="10">
        <v>43992.81826388889</v>
      </c>
    </row>
    <row r="2" spans="1:4" x14ac:dyDescent="0.25">
      <c r="A2" s="9"/>
    </row>
    <row r="3" spans="1:4" x14ac:dyDescent="0.25">
      <c r="A3" s="4" t="s">
        <v>234</v>
      </c>
      <c r="B3" s="7" t="s">
        <v>237</v>
      </c>
      <c r="C3" s="7" t="s">
        <v>236</v>
      </c>
      <c r="D3" s="7" t="s">
        <v>235</v>
      </c>
    </row>
    <row r="4" spans="1:4" x14ac:dyDescent="0.25">
      <c r="A4" s="5" t="s">
        <v>160</v>
      </c>
      <c r="B4" s="7">
        <v>7238768</v>
      </c>
      <c r="C4" s="7">
        <v>411279</v>
      </c>
      <c r="D4" s="7">
        <v>3373832</v>
      </c>
    </row>
    <row r="5" spans="1:4" x14ac:dyDescent="0.25">
      <c r="A5" s="5" t="s">
        <v>161</v>
      </c>
      <c r="B5" s="7">
        <v>2024570</v>
      </c>
      <c r="C5" s="7">
        <v>113848</v>
      </c>
      <c r="D5" s="7">
        <v>602215</v>
      </c>
    </row>
    <row r="6" spans="1:4" x14ac:dyDescent="0.25">
      <c r="A6" s="5" t="s">
        <v>65</v>
      </c>
      <c r="B6" s="7">
        <v>747561</v>
      </c>
      <c r="C6" s="7">
        <v>38701</v>
      </c>
      <c r="D6" s="7">
        <v>325602</v>
      </c>
    </row>
    <row r="7" spans="1:4" x14ac:dyDescent="0.25">
      <c r="A7" s="5" t="s">
        <v>162</v>
      </c>
      <c r="B7" s="7">
        <v>493657</v>
      </c>
      <c r="C7" s="7">
        <v>6358</v>
      </c>
      <c r="D7" s="7">
        <v>252783</v>
      </c>
    </row>
    <row r="8" spans="1:4" x14ac:dyDescent="0.25">
      <c r="A8" s="5" t="s">
        <v>163</v>
      </c>
      <c r="B8" s="7">
        <v>290143</v>
      </c>
      <c r="C8" s="7">
        <v>41128</v>
      </c>
      <c r="D8" s="7">
        <v>0</v>
      </c>
    </row>
    <row r="9" spans="1:4" x14ac:dyDescent="0.25">
      <c r="A9" s="5" t="s">
        <v>139</v>
      </c>
      <c r="B9" s="7">
        <v>276583</v>
      </c>
      <c r="C9" s="7">
        <v>7745</v>
      </c>
      <c r="D9" s="7">
        <v>135206</v>
      </c>
    </row>
    <row r="10" spans="1:4" x14ac:dyDescent="0.25">
      <c r="A10" s="5" t="s">
        <v>125</v>
      </c>
      <c r="B10" s="7">
        <v>241966</v>
      </c>
      <c r="C10" s="7">
        <v>27136</v>
      </c>
      <c r="D10" s="7">
        <v>150376</v>
      </c>
    </row>
    <row r="11" spans="1:4" x14ac:dyDescent="0.25">
      <c r="A11" s="5" t="s">
        <v>113</v>
      </c>
      <c r="B11" s="7">
        <v>235561</v>
      </c>
      <c r="C11" s="7">
        <v>34043</v>
      </c>
      <c r="D11" s="7">
        <v>168646</v>
      </c>
    </row>
    <row r="12" spans="1:4" x14ac:dyDescent="0.25">
      <c r="A12" s="5" t="s">
        <v>53</v>
      </c>
      <c r="B12" s="7">
        <v>203736</v>
      </c>
      <c r="C12" s="7">
        <v>5738</v>
      </c>
      <c r="D12" s="7">
        <v>92929</v>
      </c>
    </row>
    <row r="13" spans="1:4" x14ac:dyDescent="0.25">
      <c r="A13" s="5" t="s">
        <v>130</v>
      </c>
      <c r="B13" s="7">
        <v>186525</v>
      </c>
      <c r="C13" s="7">
        <v>8831</v>
      </c>
      <c r="D13" s="7">
        <v>170671</v>
      </c>
    </row>
    <row r="14" spans="1:4" x14ac:dyDescent="0.25">
      <c r="B14"/>
      <c r="C14"/>
      <c r="D14"/>
    </row>
    <row r="15" spans="1:4" x14ac:dyDescent="0.25">
      <c r="B15"/>
      <c r="C15"/>
      <c r="D15"/>
    </row>
    <row r="16" spans="1:4" x14ac:dyDescent="0.25">
      <c r="B16"/>
      <c r="C16"/>
      <c r="D16"/>
    </row>
    <row r="17" spans="2:19" x14ac:dyDescent="0.25">
      <c r="B17"/>
      <c r="C17"/>
      <c r="D17"/>
    </row>
    <row r="18" spans="2:19" x14ac:dyDescent="0.25">
      <c r="B18"/>
      <c r="C18"/>
      <c r="D18"/>
    </row>
    <row r="19" spans="2:19" x14ac:dyDescent="0.25">
      <c r="B19"/>
      <c r="C19"/>
      <c r="D19"/>
    </row>
    <row r="20" spans="2:19" x14ac:dyDescent="0.25">
      <c r="B20"/>
      <c r="C20"/>
      <c r="D20"/>
    </row>
    <row r="21" spans="2:19" x14ac:dyDescent="0.25">
      <c r="B21"/>
      <c r="C21"/>
      <c r="D21"/>
    </row>
    <row r="22" spans="2:19" x14ac:dyDescent="0.25">
      <c r="B22"/>
      <c r="C22"/>
      <c r="D22"/>
    </row>
    <row r="23" spans="2:19" x14ac:dyDescent="0.25">
      <c r="B23"/>
      <c r="C23"/>
      <c r="D23"/>
    </row>
    <row r="24" spans="2:19" x14ac:dyDescent="0.25">
      <c r="B24"/>
      <c r="C24"/>
      <c r="D24"/>
    </row>
    <row r="25" spans="2:19" x14ac:dyDescent="0.25">
      <c r="B25"/>
      <c r="C25"/>
      <c r="D25"/>
    </row>
    <row r="26" spans="2:19" x14ac:dyDescent="0.25">
      <c r="B26"/>
      <c r="C26"/>
      <c r="D26"/>
    </row>
    <row r="27" spans="2:19" x14ac:dyDescent="0.25">
      <c r="B27"/>
      <c r="C27"/>
      <c r="D27"/>
    </row>
    <row r="28" spans="2:19" x14ac:dyDescent="0.25">
      <c r="B28"/>
      <c r="C28"/>
      <c r="D28"/>
    </row>
    <row r="29" spans="2:19" x14ac:dyDescent="0.25">
      <c r="B29"/>
      <c r="C29"/>
      <c r="D29"/>
    </row>
    <row r="30" spans="2:19" x14ac:dyDescent="0.25">
      <c r="B30"/>
      <c r="C30"/>
      <c r="D30"/>
    </row>
    <row r="31" spans="2:19" x14ac:dyDescent="0.25">
      <c r="B31"/>
      <c r="C31"/>
      <c r="D31"/>
      <c r="G31" s="11" t="s">
        <v>239</v>
      </c>
      <c r="H31" s="17" t="s">
        <v>240</v>
      </c>
      <c r="I31" s="17"/>
      <c r="J31" s="17"/>
      <c r="K31" s="17"/>
      <c r="L31" s="17"/>
    </row>
    <row r="32" spans="2:19" x14ac:dyDescent="0.25">
      <c r="B32"/>
      <c r="C32"/>
      <c r="D32"/>
      <c r="G32" s="11" t="s">
        <v>243</v>
      </c>
      <c r="H32" s="17" t="s">
        <v>244</v>
      </c>
      <c r="I32" s="17"/>
      <c r="J32" s="17"/>
      <c r="K32" s="17"/>
      <c r="L32" s="17"/>
      <c r="M32" s="17"/>
      <c r="N32" s="17"/>
      <c r="O32" s="17"/>
      <c r="P32" s="17"/>
      <c r="Q32" s="17"/>
      <c r="R32" s="17"/>
      <c r="S32" s="17"/>
    </row>
    <row r="33" spans="2:14" x14ac:dyDescent="0.25">
      <c r="B33"/>
      <c r="C33"/>
      <c r="D33"/>
    </row>
    <row r="34" spans="2:14" x14ac:dyDescent="0.25">
      <c r="B34"/>
      <c r="C34"/>
      <c r="D34"/>
      <c r="G34" s="12" t="s">
        <v>241</v>
      </c>
      <c r="H34" s="17" t="s">
        <v>242</v>
      </c>
      <c r="I34" s="17"/>
      <c r="J34" s="17"/>
      <c r="K34" s="17"/>
      <c r="L34" s="17"/>
      <c r="M34" s="17"/>
      <c r="N34" s="17"/>
    </row>
    <row r="35" spans="2:14" x14ac:dyDescent="0.25">
      <c r="B35"/>
      <c r="C35"/>
      <c r="D35"/>
    </row>
    <row r="36" spans="2:14" x14ac:dyDescent="0.25">
      <c r="B36"/>
      <c r="C36"/>
      <c r="D36"/>
    </row>
    <row r="37" spans="2:14" x14ac:dyDescent="0.25">
      <c r="B37"/>
      <c r="C37"/>
      <c r="D37"/>
    </row>
    <row r="38" spans="2:14" x14ac:dyDescent="0.25">
      <c r="B38"/>
      <c r="C38"/>
      <c r="D38"/>
    </row>
    <row r="39" spans="2:14" x14ac:dyDescent="0.25">
      <c r="B39"/>
      <c r="C39"/>
      <c r="D39"/>
    </row>
    <row r="40" spans="2:14" x14ac:dyDescent="0.25">
      <c r="B40"/>
      <c r="C40"/>
      <c r="D40"/>
    </row>
    <row r="41" spans="2:14" x14ac:dyDescent="0.25">
      <c r="B41"/>
      <c r="C41"/>
      <c r="D41"/>
    </row>
    <row r="42" spans="2:14" x14ac:dyDescent="0.25">
      <c r="B42"/>
      <c r="C42"/>
      <c r="D42"/>
    </row>
    <row r="43" spans="2:14" x14ac:dyDescent="0.25">
      <c r="B43"/>
      <c r="C43"/>
      <c r="D43"/>
    </row>
    <row r="44" spans="2:14" x14ac:dyDescent="0.25">
      <c r="B44"/>
      <c r="C44"/>
      <c r="D44"/>
    </row>
    <row r="45" spans="2:14" x14ac:dyDescent="0.25">
      <c r="B45"/>
      <c r="C45"/>
      <c r="D45"/>
    </row>
    <row r="46" spans="2:14" x14ac:dyDescent="0.25">
      <c r="B46"/>
      <c r="C46"/>
      <c r="D46"/>
    </row>
    <row r="47" spans="2:14" x14ac:dyDescent="0.25">
      <c r="B47"/>
      <c r="C47"/>
      <c r="D47"/>
    </row>
    <row r="48" spans="2:1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c r="D206"/>
    </row>
    <row r="207" spans="2:4" x14ac:dyDescent="0.25">
      <c r="B207"/>
      <c r="C207"/>
      <c r="D207"/>
    </row>
    <row r="208" spans="2:4" x14ac:dyDescent="0.25">
      <c r="B208"/>
      <c r="C208"/>
      <c r="D208"/>
    </row>
    <row r="209" spans="2:4" x14ac:dyDescent="0.25">
      <c r="B209"/>
      <c r="C209"/>
      <c r="D209"/>
    </row>
    <row r="210" spans="2:4" x14ac:dyDescent="0.25">
      <c r="B210"/>
      <c r="C210"/>
      <c r="D210"/>
    </row>
    <row r="211" spans="2:4" x14ac:dyDescent="0.25">
      <c r="B211"/>
      <c r="C211"/>
      <c r="D211"/>
    </row>
    <row r="212" spans="2:4" x14ac:dyDescent="0.25">
      <c r="B212"/>
      <c r="C212"/>
      <c r="D212"/>
    </row>
    <row r="213" spans="2:4" x14ac:dyDescent="0.25">
      <c r="B213"/>
      <c r="C213"/>
      <c r="D213"/>
    </row>
    <row r="214" spans="2:4" x14ac:dyDescent="0.25">
      <c r="B214"/>
      <c r="C214"/>
      <c r="D214"/>
    </row>
    <row r="215" spans="2:4" x14ac:dyDescent="0.25">
      <c r="B215"/>
      <c r="C215"/>
      <c r="D215"/>
    </row>
    <row r="216" spans="2:4" x14ac:dyDescent="0.25">
      <c r="B216"/>
      <c r="C216"/>
      <c r="D216"/>
    </row>
    <row r="217" spans="2:4" x14ac:dyDescent="0.25">
      <c r="B217"/>
      <c r="C217"/>
      <c r="D217"/>
    </row>
    <row r="218" spans="2:4" x14ac:dyDescent="0.25">
      <c r="B218"/>
      <c r="C218"/>
      <c r="D218"/>
    </row>
    <row r="219" spans="2:4" x14ac:dyDescent="0.25">
      <c r="B219"/>
      <c r="C219"/>
      <c r="D219"/>
    </row>
    <row r="220" spans="2:4" x14ac:dyDescent="0.25">
      <c r="B220"/>
      <c r="C220"/>
      <c r="D220"/>
    </row>
    <row r="221" spans="2:4" x14ac:dyDescent="0.25">
      <c r="B221"/>
      <c r="C221"/>
      <c r="D221"/>
    </row>
    <row r="222" spans="2:4" x14ac:dyDescent="0.25">
      <c r="B222"/>
      <c r="C222"/>
      <c r="D222"/>
    </row>
    <row r="223" spans="2:4" x14ac:dyDescent="0.25">
      <c r="B223"/>
      <c r="C223"/>
      <c r="D223"/>
    </row>
    <row r="224" spans="2:4" x14ac:dyDescent="0.25">
      <c r="B224"/>
      <c r="C224"/>
      <c r="D224"/>
    </row>
    <row r="225" spans="2:4" x14ac:dyDescent="0.25">
      <c r="B225"/>
      <c r="C225"/>
      <c r="D225"/>
    </row>
    <row r="226" spans="2:4" x14ac:dyDescent="0.25">
      <c r="B226"/>
      <c r="C226"/>
      <c r="D226"/>
    </row>
    <row r="227" spans="2:4" x14ac:dyDescent="0.25">
      <c r="B227"/>
      <c r="C227"/>
      <c r="D227"/>
    </row>
    <row r="228" spans="2:4" x14ac:dyDescent="0.25">
      <c r="B228"/>
      <c r="C228"/>
      <c r="D228"/>
    </row>
    <row r="229" spans="2:4" x14ac:dyDescent="0.25">
      <c r="B229"/>
      <c r="C229"/>
      <c r="D229"/>
    </row>
    <row r="230" spans="2:4" x14ac:dyDescent="0.25">
      <c r="B230"/>
      <c r="C230"/>
      <c r="D230"/>
    </row>
    <row r="231" spans="2:4" x14ac:dyDescent="0.25">
      <c r="B231"/>
      <c r="C231"/>
      <c r="D231"/>
    </row>
    <row r="232" spans="2:4" x14ac:dyDescent="0.25">
      <c r="B232"/>
      <c r="C232"/>
      <c r="D232"/>
    </row>
    <row r="233" spans="2:4" x14ac:dyDescent="0.25">
      <c r="B233"/>
      <c r="C233"/>
      <c r="D233"/>
    </row>
    <row r="234" spans="2:4" x14ac:dyDescent="0.25">
      <c r="B234"/>
      <c r="C234"/>
      <c r="D234"/>
    </row>
  </sheetData>
  <mergeCells count="3">
    <mergeCell ref="H31:L31"/>
    <mergeCell ref="H34:N34"/>
    <mergeCell ref="H32:S32"/>
  </mergeCells>
  <pageMargins left="0.7" right="0.7" top="0.75" bottom="0.75" header="0.3" footer="0.3"/>
  <pageSetup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5884D-450A-475F-905E-452286441CEE}">
  <sheetPr codeName="Sheet5"/>
  <dimension ref="A1:D230"/>
  <sheetViews>
    <sheetView topLeftCell="A84" workbookViewId="0">
      <selection activeCell="A104" sqref="A104:D104"/>
    </sheetView>
  </sheetViews>
  <sheetFormatPr defaultRowHeight="15" x14ac:dyDescent="0.25"/>
  <cols>
    <col min="1" max="1" width="24.7109375" customWidth="1"/>
    <col min="2" max="4" width="24.7109375" style="2" customWidth="1"/>
  </cols>
  <sheetData>
    <row r="1" spans="1:4" x14ac:dyDescent="0.25">
      <c r="A1" t="s">
        <v>156</v>
      </c>
      <c r="B1" s="13" t="s">
        <v>157</v>
      </c>
      <c r="C1" s="13" t="s">
        <v>158</v>
      </c>
      <c r="D1" s="2" t="s">
        <v>159</v>
      </c>
    </row>
    <row r="2" spans="1:4" x14ac:dyDescent="0.25">
      <c r="A2" t="s">
        <v>160</v>
      </c>
      <c r="B2" s="13">
        <f>VLOOKUP(A2,'All Countries Data - Current'!$A$1:$D$230,2,FALSE)-VLOOKUP(A2,'All Countries Data - Prev'!$A:$D,2,FALSE)</f>
        <v>117068</v>
      </c>
      <c r="C2" s="13">
        <f>IFERROR(VLOOKUP(A2,'All Countries Data - Current'!$A$1:$D$230,3,FALSE)-VLOOKUP(A2,'All Countries Data - Prev'!$A:$D,3,FALSE), "No Data")</f>
        <v>4663</v>
      </c>
      <c r="D2" s="2">
        <f>IF(TRIM(VLOOKUP(A2,'All Countries Data - Current'!$A$1:$D$230,4,FALSE))="No data","No Data",VLOOKUP(A2,'All Countries Data - Current'!$A$1:$D$230,4,FALSE)-VLOOKUP(A2,'All Countries Data - Prev'!$A:$D,4,FALSE))</f>
        <v>78436</v>
      </c>
    </row>
    <row r="3" spans="1:4" x14ac:dyDescent="0.25">
      <c r="A3" t="s">
        <v>161</v>
      </c>
      <c r="B3" s="13">
        <f>VLOOKUP(A3,'All Countries Data - Current'!$A$1:$D$230,2,FALSE)-VLOOKUP(A3,'All Countries Data - Prev'!$A:$D,2,FALSE)</f>
        <v>23236</v>
      </c>
      <c r="C3" s="13">
        <f>IFERROR(VLOOKUP(A3,'All Countries Data - Current'!$A$1:$D$230,3,FALSE)-VLOOKUP(A3,'All Countries Data - Prev'!$A:$D,3,FALSE), "No Data")</f>
        <v>1251</v>
      </c>
      <c r="D3" s="15">
        <f>IF(TRIM(VLOOKUP(A3,'All Countries Data - Current'!$A$1:$D$230,4,FALSE))="No data","No Data",VLOOKUP(A3,'All Countries Data - Current'!$A$1:$D$230,4,FALSE)-VLOOKUP(A3,'All Countries Data - Prev'!$A:$D,4,FALSE))</f>
        <v>70407</v>
      </c>
    </row>
    <row r="4" spans="1:4" x14ac:dyDescent="0.25">
      <c r="A4" t="s">
        <v>65</v>
      </c>
      <c r="B4" s="13">
        <f>VLOOKUP(A4,'All Countries Data - Current'!$A$1:$D$230,2,FALSE)-VLOOKUP(A4,'All Countries Data - Prev'!$A:$D,2,FALSE)</f>
        <v>36674</v>
      </c>
      <c r="C4" s="13">
        <f>IFERROR(VLOOKUP(A4,'All Countries Data - Current'!$A$1:$D$230,3,FALSE)-VLOOKUP(A4,'All Countries Data - Prev'!$A:$D,3,FALSE), "No Data")</f>
        <v>1389</v>
      </c>
      <c r="D4" s="15">
        <f>IF(TRIM(VLOOKUP(A4,'All Countries Data - Current'!$A$1:$D$230,4,FALSE))="No data","No Data",VLOOKUP(A4,'All Countries Data - Current'!$A$1:$D$230,4,FALSE)-VLOOKUP(A4,'All Countries Data - Prev'!$A:$D,4,FALSE))</f>
        <v>0</v>
      </c>
    </row>
    <row r="5" spans="1:4" x14ac:dyDescent="0.25">
      <c r="A5" t="s">
        <v>162</v>
      </c>
      <c r="B5" s="13">
        <f>VLOOKUP(A5,'All Countries Data - Current'!$A$1:$D$230,2,FALSE)-VLOOKUP(A5,'All Countries Data - Prev'!$A:$D,2,FALSE)</f>
        <v>8404</v>
      </c>
      <c r="C5" s="13">
        <f>IFERROR(VLOOKUP(A5,'All Countries Data - Current'!$A$1:$D$230,3,FALSE)-VLOOKUP(A5,'All Countries Data - Prev'!$A:$D,3,FALSE), "No Data")</f>
        <v>216</v>
      </c>
      <c r="D5" s="15">
        <f>IF(TRIM(VLOOKUP(A5,'All Countries Data - Current'!$A$1:$D$230,4,FALSE))="No data","No Data",VLOOKUP(A5,'All Countries Data - Current'!$A$1:$D$230,4,FALSE)-VLOOKUP(A5,'All Countries Data - Prev'!$A:$D,4,FALSE))</f>
        <v>10386</v>
      </c>
    </row>
    <row r="6" spans="1:4" x14ac:dyDescent="0.25">
      <c r="A6" t="s">
        <v>163</v>
      </c>
      <c r="B6" s="13">
        <f>VLOOKUP(A6,'All Countries Data - Current'!$A$1:$D$230,2,FALSE)-VLOOKUP(A6,'All Countries Data - Prev'!$A:$D,2,FALSE)</f>
        <v>2744</v>
      </c>
      <c r="C6" s="13">
        <f>IFERROR(VLOOKUP(A6,'All Countries Data - Current'!$A$1:$D$230,3,FALSE)-VLOOKUP(A6,'All Countries Data - Prev'!$A:$D,3,FALSE), "No Data")</f>
        <v>531</v>
      </c>
      <c r="D6" s="15" t="str">
        <f>IF(TRIM(VLOOKUP(A6,'All Countries Data - Current'!$A$1:$D$230,4,FALSE))="No data","No Data",VLOOKUP(A6,'All Countries Data - Current'!$A$1:$D$230,4,FALSE)-VLOOKUP(A6,'All Countries Data - Prev'!$A:$D,4,FALSE))</f>
        <v>No Data</v>
      </c>
    </row>
    <row r="7" spans="1:4" x14ac:dyDescent="0.25">
      <c r="A7" t="s">
        <v>139</v>
      </c>
      <c r="B7" s="13">
        <f>VLOOKUP(A7,'All Countries Data - Current'!$A$1:$D$230,2,FALSE)-VLOOKUP(A7,'All Countries Data - Prev'!$A:$D,2,FALSE)</f>
        <v>9985</v>
      </c>
      <c r="C7" s="13">
        <f>IFERROR(VLOOKUP(A7,'All Countries Data - Current'!$A$1:$D$230,3,FALSE)-VLOOKUP(A7,'All Countries Data - Prev'!$A:$D,3,FALSE), "No Data")</f>
        <v>279</v>
      </c>
      <c r="D7" s="15">
        <f>IF(TRIM(VLOOKUP(A7,'All Countries Data - Current'!$A$1:$D$230,4,FALSE))="No data","No Data",VLOOKUP(A7,'All Countries Data - Current'!$A$1:$D$230,4,FALSE)-VLOOKUP(A7,'All Countries Data - Prev'!$A:$D,4,FALSE))</f>
        <v>5991</v>
      </c>
    </row>
    <row r="8" spans="1:4" x14ac:dyDescent="0.25">
      <c r="A8" t="s">
        <v>125</v>
      </c>
      <c r="B8" s="13">
        <f>VLOOKUP(A8,'All Countries Data - Current'!$A$1:$D$230,2,FALSE)-VLOOKUP(A8,'All Countries Data - Prev'!$A:$D,2,FALSE)</f>
        <v>249</v>
      </c>
      <c r="C8" s="13">
        <f>IFERROR(VLOOKUP(A8,'All Countries Data - Current'!$A$1:$D$230,3,FALSE)-VLOOKUP(A8,'All Countries Data - Prev'!$A:$D,3,FALSE), "No Data")</f>
        <v>0</v>
      </c>
      <c r="D8" s="15">
        <f>IF(TRIM(VLOOKUP(A8,'All Countries Data - Current'!$A$1:$D$230,4,FALSE))="No data","No Data",VLOOKUP(A8,'All Countries Data - Current'!$A$1:$D$230,4,FALSE)-VLOOKUP(A8,'All Countries Data - Prev'!$A:$D,4,FALSE))</f>
        <v>0</v>
      </c>
    </row>
    <row r="9" spans="1:4" x14ac:dyDescent="0.25">
      <c r="A9" t="s">
        <v>113</v>
      </c>
      <c r="B9" s="13">
        <f>VLOOKUP(A9,'All Countries Data - Current'!$A$1:$D$230,2,FALSE)-VLOOKUP(A9,'All Countries Data - Prev'!$A:$D,2,FALSE)</f>
        <v>283</v>
      </c>
      <c r="C9" s="13">
        <f>IFERROR(VLOOKUP(A9,'All Countries Data - Current'!$A$1:$D$230,3,FALSE)-VLOOKUP(A9,'All Countries Data - Prev'!$A:$D,3,FALSE), "No Data")</f>
        <v>79</v>
      </c>
      <c r="D9" s="15">
        <f>IF(TRIM(VLOOKUP(A9,'All Countries Data - Current'!$A$1:$D$230,4,FALSE))="No data","No Data",VLOOKUP(A9,'All Countries Data - Current'!$A$1:$D$230,4,FALSE)-VLOOKUP(A9,'All Countries Data - Prev'!$A:$D,4,FALSE))</f>
        <v>2062</v>
      </c>
    </row>
    <row r="10" spans="1:4" x14ac:dyDescent="0.25">
      <c r="A10" t="s">
        <v>53</v>
      </c>
      <c r="B10" s="13">
        <f>VLOOKUP(A10,'All Countries Data - Current'!$A$1:$D$230,2,FALSE)-VLOOKUP(A10,'All Countries Data - Prev'!$A:$D,2,FALSE)</f>
        <v>4040</v>
      </c>
      <c r="C10" s="13">
        <f>IFERROR(VLOOKUP(A10,'All Countries Data - Current'!$A$1:$D$230,3,FALSE)-VLOOKUP(A10,'All Countries Data - Prev'!$A:$D,3,FALSE), "No Data")</f>
        <v>167</v>
      </c>
      <c r="D10" s="15">
        <f>IF(TRIM(VLOOKUP(A10,'All Countries Data - Current'!$A$1:$D$230,4,FALSE))="No data","No Data",VLOOKUP(A10,'All Countries Data - Current'!$A$1:$D$230,4,FALSE)-VLOOKUP(A10,'All Countries Data - Prev'!$A:$D,4,FALSE))</f>
        <v>3373</v>
      </c>
    </row>
    <row r="11" spans="1:4" x14ac:dyDescent="0.25">
      <c r="A11" t="s">
        <v>130</v>
      </c>
      <c r="B11" s="13">
        <f>VLOOKUP(A11,'All Countries Data - Current'!$A$1:$D$230,2,FALSE)-VLOOKUP(A11,'All Countries Data - Prev'!$A:$D,2,FALSE)</f>
        <v>292</v>
      </c>
      <c r="C11" s="13">
        <f>IFERROR(VLOOKUP(A11,'All Countries Data - Current'!$A$1:$D$230,3,FALSE)-VLOOKUP(A11,'All Countries Data - Prev'!$A:$D,3,FALSE), "No Data")</f>
        <v>39</v>
      </c>
      <c r="D11" s="15">
        <f>IF(TRIM(VLOOKUP(A11,'All Countries Data - Current'!$A$1:$D$230,4,FALSE))="No data","No Data",VLOOKUP(A11,'All Countries Data - Current'!$A$1:$D$230,4,FALSE)-VLOOKUP(A11,'All Countries Data - Prev'!$A:$D,4,FALSE))</f>
        <v>1122</v>
      </c>
    </row>
    <row r="12" spans="1:4" x14ac:dyDescent="0.25">
      <c r="A12" t="s">
        <v>165</v>
      </c>
      <c r="B12" s="13">
        <f>VLOOKUP(A12,'All Countries Data - Current'!$A$1:$D$230,2,FALSE)-VLOOKUP(A12,'All Countries Data - Prev'!$A:$D,2,FALSE)</f>
        <v>4106</v>
      </c>
      <c r="C12" s="13">
        <f>IFERROR(VLOOKUP(A12,'All Countries Data - Current'!$A$1:$D$230,3,FALSE)-VLOOKUP(A12,'All Countries Data - Prev'!$A:$D,3,FALSE), "No Data")</f>
        <v>155</v>
      </c>
      <c r="D12" s="15">
        <f>IF(TRIM(VLOOKUP(A12,'All Countries Data - Current'!$A$1:$D$230,4,FALSE))="No data","No Data",VLOOKUP(A12,'All Countries Data - Current'!$A$1:$D$230,4,FALSE)-VLOOKUP(A12,'All Countries Data - Prev'!$A:$D,4,FALSE))</f>
        <v>4230</v>
      </c>
    </row>
    <row r="13" spans="1:4" x14ac:dyDescent="0.25">
      <c r="A13" t="s">
        <v>97</v>
      </c>
      <c r="B13" s="13">
        <f>VLOOKUP(A13,'All Countries Data - Current'!$A$1:$D$230,2,FALSE)-VLOOKUP(A13,'All Countries Data - Prev'!$A:$D,2,FALSE)</f>
        <v>993</v>
      </c>
      <c r="C13" s="13">
        <f>IFERROR(VLOOKUP(A13,'All Countries Data - Current'!$A$1:$D$230,3,FALSE)-VLOOKUP(A13,'All Countries Data - Prev'!$A:$D,3,FALSE), "No Data")</f>
        <v>18</v>
      </c>
      <c r="D13" s="15">
        <f>IF(TRIM(VLOOKUP(A13,'All Countries Data - Current'!$A$1:$D$230,4,FALSE))="No data","No Data",VLOOKUP(A13,'All Countries Data - Current'!$A$1:$D$230,4,FALSE)-VLOOKUP(A13,'All Countries Data - Prev'!$A:$D,4,FALSE))</f>
        <v>3218</v>
      </c>
    </row>
    <row r="14" spans="1:4" x14ac:dyDescent="0.25">
      <c r="A14" t="s">
        <v>128</v>
      </c>
      <c r="B14" s="13">
        <f>VLOOKUP(A14,'All Countries Data - Current'!$A$1:$D$230,2,FALSE)-VLOOKUP(A14,'All Countries Data - Prev'!$A:$D,2,FALSE)</f>
        <v>403</v>
      </c>
      <c r="C14" s="13">
        <f>IFERROR(VLOOKUP(A14,'All Countries Data - Current'!$A$1:$D$230,3,FALSE)-VLOOKUP(A14,'All Countries Data - Prev'!$A:$D,3,FALSE), "No Data")</f>
        <v>87</v>
      </c>
      <c r="D14" s="15">
        <f>IF(TRIM(VLOOKUP(A14,'All Countries Data - Current'!$A$1:$D$230,4,FALSE))="No data","No Data",VLOOKUP(A14,'All Countries Data - Current'!$A$1:$D$230,4,FALSE)-VLOOKUP(A14,'All Countries Data - Prev'!$A:$D,4,FALSE))</f>
        <v>444</v>
      </c>
    </row>
    <row r="15" spans="1:4" x14ac:dyDescent="0.25">
      <c r="A15" t="s">
        <v>68</v>
      </c>
      <c r="B15" s="13">
        <f>VLOOKUP(A15,'All Countries Data - Current'!$A$1:$D$230,2,FALSE)-VLOOKUP(A15,'All Countries Data - Prev'!$A:$D,2,FALSE)</f>
        <v>3913</v>
      </c>
      <c r="C15" s="13">
        <f>IFERROR(VLOOKUP(A15,'All Countries Data - Current'!$A$1:$D$230,3,FALSE)-VLOOKUP(A15,'All Countries Data - Prev'!$A:$D,3,FALSE), "No Data")</f>
        <v>19</v>
      </c>
      <c r="D15" s="15" t="str">
        <f>IF(TRIM(VLOOKUP(A15,'All Countries Data - Current'!$A$1:$D$230,4,FALSE))="No data","No Data",VLOOKUP(A15,'All Countries Data - Current'!$A$1:$D$230,4,FALSE)-VLOOKUP(A15,'All Countries Data - Prev'!$A:$D,4,FALSE))</f>
        <v>No Data</v>
      </c>
    </row>
    <row r="16" spans="1:4" x14ac:dyDescent="0.25">
      <c r="A16" t="s">
        <v>50</v>
      </c>
      <c r="B16" s="13">
        <f>VLOOKUP(A16,'All Countries Data - Current'!$A$1:$D$230,2,FALSE)-VLOOKUP(A16,'All Countries Data - Prev'!$A:$D,2,FALSE)</f>
        <v>4199</v>
      </c>
      <c r="C16" s="13">
        <f>IFERROR(VLOOKUP(A16,'All Countries Data - Current'!$A$1:$D$230,3,FALSE)-VLOOKUP(A16,'All Countries Data - Prev'!$A:$D,3,FALSE), "No Data")</f>
        <v>596</v>
      </c>
      <c r="D16" s="15">
        <f>IF(TRIM(VLOOKUP(A16,'All Countries Data - Current'!$A$1:$D$230,4,FALSE))="No data","No Data",VLOOKUP(A16,'All Countries Data - Current'!$A$1:$D$230,4,FALSE)-VLOOKUP(A16,'All Countries Data - Prev'!$A:$D,4,FALSE))</f>
        <v>3195</v>
      </c>
    </row>
    <row r="17" spans="1:4" x14ac:dyDescent="0.25">
      <c r="A17" t="s">
        <v>79</v>
      </c>
      <c r="B17" s="13">
        <f>VLOOKUP(A17,'All Countries Data - Current'!$A$1:$D$230,2,FALSE)-VLOOKUP(A17,'All Countries Data - Prev'!$A:$D,2,FALSE)</f>
        <v>5385</v>
      </c>
      <c r="C17" s="13">
        <f>IFERROR(VLOOKUP(A17,'All Countries Data - Current'!$A$1:$D$230,3,FALSE)-VLOOKUP(A17,'All Countries Data - Prev'!$A:$D,3,FALSE), "No Data")</f>
        <v>83</v>
      </c>
      <c r="D17" s="15">
        <f>IF(TRIM(VLOOKUP(A17,'All Countries Data - Current'!$A$1:$D$230,4,FALSE))="No data","No Data",VLOOKUP(A17,'All Countries Data - Current'!$A$1:$D$230,4,FALSE)-VLOOKUP(A17,'All Countries Data - Prev'!$A:$D,4,FALSE))</f>
        <v>1290</v>
      </c>
    </row>
    <row r="18" spans="1:4" x14ac:dyDescent="0.25">
      <c r="A18" t="s">
        <v>81</v>
      </c>
      <c r="B18" s="13">
        <f>VLOOKUP(A18,'All Countries Data - Current'!$A$1:$D$230,2,FALSE)-VLOOKUP(A18,'All Countries Data - Prev'!$A:$D,2,FALSE)</f>
        <v>7005</v>
      </c>
      <c r="C18" s="13">
        <f>IFERROR(VLOOKUP(A18,'All Countries Data - Current'!$A$1:$D$230,3,FALSE)-VLOOKUP(A18,'All Countries Data - Prev'!$A:$D,3,FALSE), "No Data")</f>
        <v>73</v>
      </c>
      <c r="D18" s="15">
        <f>IF(TRIM(VLOOKUP(A18,'All Countries Data - Current'!$A$1:$D$230,4,FALSE))="No data","No Data",VLOOKUP(A18,'All Countries Data - Current'!$A$1:$D$230,4,FALSE)-VLOOKUP(A18,'All Countries Data - Prev'!$A:$D,4,FALSE))</f>
        <v>3430</v>
      </c>
    </row>
    <row r="19" spans="1:4" x14ac:dyDescent="0.25">
      <c r="A19" t="s">
        <v>67</v>
      </c>
      <c r="B19" s="13">
        <f>VLOOKUP(A19,'All Countries Data - Current'!$A$1:$D$230,2,FALSE)-VLOOKUP(A19,'All Countries Data - Prev'!$A:$D,2,FALSE)</f>
        <v>660</v>
      </c>
      <c r="C19" s="13">
        <f>IFERROR(VLOOKUP(A19,'All Countries Data - Current'!$A$1:$D$230,3,FALSE)-VLOOKUP(A19,'All Countries Data - Prev'!$A:$D,3,FALSE), "No Data")</f>
        <v>73</v>
      </c>
      <c r="D19" s="15">
        <f>IF(TRIM(VLOOKUP(A19,'All Countries Data - Current'!$A$1:$D$230,4,FALSE))="No data","No Data",VLOOKUP(A19,'All Countries Data - Current'!$A$1:$D$230,4,FALSE)-VLOOKUP(A19,'All Countries Data - Prev'!$A:$D,4,FALSE))</f>
        <v>1289</v>
      </c>
    </row>
    <row r="20" spans="1:4" x14ac:dyDescent="0.25">
      <c r="A20" t="s">
        <v>146</v>
      </c>
      <c r="B20" s="13">
        <f>VLOOKUP(A20,'All Countries Data - Current'!$A$1:$D$230,2,FALSE)-VLOOKUP(A20,'All Countries Data - Prev'!$A:$D,2,FALSE)</f>
        <v>6</v>
      </c>
      <c r="C20" s="13">
        <f>IFERROR(VLOOKUP(A20,'All Countries Data - Current'!$A$1:$D$230,3,FALSE)-VLOOKUP(A20,'All Countries Data - Prev'!$A:$D,3,FALSE), "No Data")</f>
        <v>0</v>
      </c>
      <c r="D20" s="15">
        <f>IF(TRIM(VLOOKUP(A20,'All Countries Data - Current'!$A$1:$D$230,4,FALSE))="No data","No Data",VLOOKUP(A20,'All Countries Data - Current'!$A$1:$D$230,4,FALSE)-VLOOKUP(A20,'All Countries Data - Prev'!$A:$D,4,FALSE))</f>
        <v>16</v>
      </c>
    </row>
    <row r="21" spans="1:4" x14ac:dyDescent="0.25">
      <c r="A21" t="s">
        <v>136</v>
      </c>
      <c r="B21" s="13">
        <f>VLOOKUP(A21,'All Countries Data - Current'!$A$1:$D$230,2,FALSE)-VLOOKUP(A21,'All Countries Data - Prev'!$A:$D,2,FALSE)</f>
        <v>3190</v>
      </c>
      <c r="C21" s="13">
        <f>IFERROR(VLOOKUP(A21,'All Countries Data - Current'!$A$1:$D$230,3,FALSE)-VLOOKUP(A21,'All Countries Data - Prev'!$A:$D,3,FALSE), "No Data")</f>
        <v>37</v>
      </c>
      <c r="D21" s="15">
        <f>IF(TRIM(VLOOKUP(A21,'All Countries Data - Current'!$A$1:$D$230,4,FALSE))="No data","No Data",VLOOKUP(A21,'All Countries Data - Current'!$A$1:$D$230,4,FALSE)-VLOOKUP(A21,'All Countries Data - Prev'!$A:$D,4,FALSE))</f>
        <v>564</v>
      </c>
    </row>
    <row r="22" spans="1:4" x14ac:dyDescent="0.25">
      <c r="A22" t="s">
        <v>80</v>
      </c>
      <c r="B22" s="13">
        <f>VLOOKUP(A22,'All Countries Data - Current'!$A$1:$D$230,2,FALSE)-VLOOKUP(A22,'All Countries Data - Prev'!$A:$D,2,FALSE)</f>
        <v>3437</v>
      </c>
      <c r="C22" s="13">
        <f>IFERROR(VLOOKUP(A22,'All Countries Data - Current'!$A$1:$D$230,3,FALSE)-VLOOKUP(A22,'All Countries Data - Prev'!$A:$D,3,FALSE), "No Data")</f>
        <v>9</v>
      </c>
      <c r="D22" s="15">
        <f>IF(TRIM(VLOOKUP(A22,'All Countries Data - Current'!$A$1:$D$230,4,FALSE))="No data","No Data",VLOOKUP(A22,'All Countries Data - Current'!$A$1:$D$230,4,FALSE)-VLOOKUP(A22,'All Countries Data - Prev'!$A:$D,4,FALSE))</f>
        <v>3478</v>
      </c>
    </row>
    <row r="23" spans="1:4" x14ac:dyDescent="0.25">
      <c r="A23" t="s">
        <v>94</v>
      </c>
      <c r="B23" s="13">
        <f>VLOOKUP(A23,'All Countries Data - Current'!$A$1:$D$230,2,FALSE)-VLOOKUP(A23,'All Countries Data - Prev'!$A:$D,2,FALSE)</f>
        <v>221</v>
      </c>
      <c r="C23" s="13">
        <f>IFERROR(VLOOKUP(A23,'All Countries Data - Current'!$A$1:$D$230,3,FALSE)-VLOOKUP(A23,'All Countries Data - Prev'!$A:$D,3,FALSE), "No Data")</f>
        <v>13</v>
      </c>
      <c r="D23" s="15">
        <f>IF(TRIM(VLOOKUP(A23,'All Countries Data - Current'!$A$1:$D$230,4,FALSE))="No data","No Data",VLOOKUP(A23,'All Countries Data - Current'!$A$1:$D$230,4,FALSE)-VLOOKUP(A23,'All Countries Data - Prev'!$A:$D,4,FALSE))</f>
        <v>77</v>
      </c>
    </row>
    <row r="24" spans="1:4" x14ac:dyDescent="0.25">
      <c r="A24" t="s">
        <v>7</v>
      </c>
      <c r="B24" s="13">
        <f>VLOOKUP(A24,'All Countries Data - Current'!$A$1:$D$230,2,FALSE)-VLOOKUP(A24,'All Countries Data - Prev'!$A:$D,2,FALSE)</f>
        <v>2112</v>
      </c>
      <c r="C24" s="13">
        <f>IFERROR(VLOOKUP(A24,'All Countries Data - Current'!$A$1:$D$230,3,FALSE)-VLOOKUP(A24,'All Countries Data - Prev'!$A:$D,3,FALSE), "No Data")</f>
        <v>82</v>
      </c>
      <c r="D24" s="15">
        <f>IF(TRIM(VLOOKUP(A24,'All Countries Data - Current'!$A$1:$D$230,4,FALSE))="No data","No Data",VLOOKUP(A24,'All Countries Data - Current'!$A$1:$D$230,4,FALSE)-VLOOKUP(A24,'All Countries Data - Prev'!$A:$D,4,FALSE))</f>
        <v>2907</v>
      </c>
    </row>
    <row r="25" spans="1:4" x14ac:dyDescent="0.25">
      <c r="A25" t="s">
        <v>133</v>
      </c>
      <c r="B25" s="13">
        <f>VLOOKUP(A25,'All Countries Data - Current'!$A$1:$D$230,2,FALSE)-VLOOKUP(A25,'All Countries Data - Prev'!$A:$D,2,FALSE)</f>
        <v>1613</v>
      </c>
      <c r="C25" s="13">
        <f>IFERROR(VLOOKUP(A25,'All Countries Data - Current'!$A$1:$D$230,3,FALSE)-VLOOKUP(A25,'All Countries Data - Prev'!$A:$D,3,FALSE), "No Data")</f>
        <v>12</v>
      </c>
      <c r="D25" s="15">
        <f>IF(TRIM(VLOOKUP(A25,'All Countries Data - Current'!$A$1:$D$230,4,FALSE))="No data","No Data",VLOOKUP(A25,'All Countries Data - Current'!$A$1:$D$230,4,FALSE)-VLOOKUP(A25,'All Countries Data - Prev'!$A:$D,4,FALSE))</f>
        <v>1787</v>
      </c>
    </row>
    <row r="26" spans="1:4" x14ac:dyDescent="0.25">
      <c r="A26" t="s">
        <v>104</v>
      </c>
      <c r="B26" s="13">
        <f>VLOOKUP(A26,'All Countries Data - Current'!$A$1:$D$230,2,FALSE)-VLOOKUP(A26,'All Countries Data - Prev'!$A:$D,2,FALSE)</f>
        <v>164</v>
      </c>
      <c r="C26" s="13">
        <f>IFERROR(VLOOKUP(A26,'All Countries Data - Current'!$A$1:$D$230,3,FALSE)-VLOOKUP(A26,'All Countries Data - Prev'!$A:$D,3,FALSE), "No Data")</f>
        <v>15</v>
      </c>
      <c r="D26" s="15" t="str">
        <f>IF(TRIM(VLOOKUP(A26,'All Countries Data - Current'!$A$1:$D$230,4,FALSE))="No data","No Data",VLOOKUP(A26,'All Countries Data - Current'!$A$1:$D$230,4,FALSE)-VLOOKUP(A26,'All Countries Data - Prev'!$A:$D,4,FALSE))</f>
        <v>No Data</v>
      </c>
    </row>
    <row r="27" spans="1:4" x14ac:dyDescent="0.25">
      <c r="A27" t="s">
        <v>95</v>
      </c>
      <c r="B27" s="13">
        <f>VLOOKUP(A27,'All Countries Data - Current'!$A$1:$D$230,2,FALSE)-VLOOKUP(A27,'All Countries Data - Prev'!$A:$D,2,FALSE)</f>
        <v>791</v>
      </c>
      <c r="C27" s="13">
        <f>IFERROR(VLOOKUP(A27,'All Countries Data - Current'!$A$1:$D$230,3,FALSE)-VLOOKUP(A27,'All Countries Data - Prev'!$A:$D,3,FALSE), "No Data")</f>
        <v>23</v>
      </c>
      <c r="D27" s="15" t="str">
        <f>IF(TRIM(VLOOKUP(A27,'All Countries Data - Current'!$A$1:$D$230,4,FALSE))="No data","No Data",VLOOKUP(A27,'All Countries Data - Current'!$A$1:$D$230,4,FALSE)-VLOOKUP(A27,'All Countries Data - Prev'!$A:$D,4,FALSE))</f>
        <v>No Data</v>
      </c>
    </row>
    <row r="28" spans="1:4" x14ac:dyDescent="0.25">
      <c r="A28" t="s">
        <v>64</v>
      </c>
      <c r="B28" s="13">
        <f>VLOOKUP(A28,'All Countries Data - Current'!$A$1:$D$230,2,FALSE)-VLOOKUP(A28,'All Countries Data - Prev'!$A:$D,2,FALSE)</f>
        <v>539</v>
      </c>
      <c r="C28" s="13">
        <f>IFERROR(VLOOKUP(A28,'All Countries Data - Current'!$A$1:$D$230,3,FALSE)-VLOOKUP(A28,'All Countries Data - Prev'!$A:$D,3,FALSE), "No Data")</f>
        <v>48</v>
      </c>
      <c r="D28" s="15">
        <f>IF(TRIM(VLOOKUP(A28,'All Countries Data - Current'!$A$1:$D$230,4,FALSE))="No data","No Data",VLOOKUP(A28,'All Countries Data - Current'!$A$1:$D$230,4,FALSE)-VLOOKUP(A28,'All Countries Data - Prev'!$A:$D,4,FALSE))</f>
        <v>0</v>
      </c>
    </row>
    <row r="29" spans="1:4" x14ac:dyDescent="0.25">
      <c r="A29" t="s">
        <v>69</v>
      </c>
      <c r="B29" s="13">
        <f>VLOOKUP(A29,'All Countries Data - Current'!$A$1:$D$230,2,FALSE)-VLOOKUP(A29,'All Countries Data - Prev'!$A:$D,2,FALSE)</f>
        <v>1359</v>
      </c>
      <c r="C29" s="13">
        <f>IFERROR(VLOOKUP(A29,'All Countries Data - Current'!$A$1:$D$230,3,FALSE)-VLOOKUP(A29,'All Countries Data - Prev'!$A:$D,3,FALSE), "No Data")</f>
        <v>64</v>
      </c>
      <c r="D29" s="15">
        <f>IF(TRIM(VLOOKUP(A29,'All Countries Data - Current'!$A$1:$D$230,4,FALSE))="No data","No Data",VLOOKUP(A29,'All Countries Data - Current'!$A$1:$D$230,4,FALSE)-VLOOKUP(A29,'All Countries Data - Prev'!$A:$D,4,FALSE))</f>
        <v>107</v>
      </c>
    </row>
    <row r="30" spans="1:4" x14ac:dyDescent="0.25">
      <c r="A30" t="s">
        <v>71</v>
      </c>
      <c r="B30" s="13">
        <f>VLOOKUP(A30,'All Countries Data - Current'!$A$1:$D$230,2,FALSE)-VLOOKUP(A30,'All Countries Data - Prev'!$A:$D,2,FALSE)</f>
        <v>528</v>
      </c>
      <c r="C30" s="13">
        <f>IFERROR(VLOOKUP(A30,'All Countries Data - Current'!$A$1:$D$230,3,FALSE)-VLOOKUP(A30,'All Countries Data - Prev'!$A:$D,3,FALSE), "No Data")</f>
        <v>2</v>
      </c>
      <c r="D30" s="15">
        <f>IF(TRIM(VLOOKUP(A30,'All Countries Data - Current'!$A$1:$D$230,4,FALSE))="No data","No Data",VLOOKUP(A30,'All Countries Data - Current'!$A$1:$D$230,4,FALSE)-VLOOKUP(A30,'All Countries Data - Prev'!$A:$D,4,FALSE))</f>
        <v>465</v>
      </c>
    </row>
    <row r="31" spans="1:4" x14ac:dyDescent="0.25">
      <c r="A31" t="s">
        <v>150</v>
      </c>
      <c r="B31" s="13">
        <f>VLOOKUP(A31,'All Countries Data - Current'!$A$1:$D$230,2,FALSE)-VLOOKUP(A31,'All Countries Data - Prev'!$A:$D,2,FALSE)</f>
        <v>218</v>
      </c>
      <c r="C31" s="13">
        <f>IFERROR(VLOOKUP(A31,'All Countries Data - Current'!$A$1:$D$230,3,FALSE)-VLOOKUP(A31,'All Countries Data - Prev'!$A:$D,3,FALSE), "No Data")</f>
        <v>0</v>
      </c>
      <c r="D31" s="15">
        <f>IF(TRIM(VLOOKUP(A31,'All Countries Data - Current'!$A$1:$D$230,4,FALSE))="No data","No Data",VLOOKUP(A31,'All Countries Data - Current'!$A$1:$D$230,4,FALSE)-VLOOKUP(A31,'All Countries Data - Prev'!$A:$D,4,FALSE))</f>
        <v>509</v>
      </c>
    </row>
    <row r="32" spans="1:4" x14ac:dyDescent="0.25">
      <c r="A32" t="s">
        <v>74</v>
      </c>
      <c r="B32" s="13">
        <f>VLOOKUP(A32,'All Countries Data - Current'!$A$1:$D$230,2,FALSE)-VLOOKUP(A32,'All Countries Data - Prev'!$A:$D,2,FALSE)</f>
        <v>1385</v>
      </c>
      <c r="C32" s="13">
        <f>IFERROR(VLOOKUP(A32,'All Countries Data - Current'!$A$1:$D$230,3,FALSE)-VLOOKUP(A32,'All Countries Data - Prev'!$A:$D,3,FALSE), "No Data")</f>
        <v>35</v>
      </c>
      <c r="D32" s="15">
        <f>IF(TRIM(VLOOKUP(A32,'All Countries Data - Current'!$A$1:$D$230,4,FALSE))="No data","No Data",VLOOKUP(A32,'All Countries Data - Current'!$A$1:$D$230,4,FALSE)-VLOOKUP(A32,'All Countries Data - Prev'!$A:$D,4,FALSE))</f>
        <v>-832</v>
      </c>
    </row>
    <row r="33" spans="1:4" x14ac:dyDescent="0.25">
      <c r="A33" t="s">
        <v>107</v>
      </c>
      <c r="B33" s="13">
        <f>VLOOKUP(A33,'All Countries Data - Current'!$A$1:$D$230,2,FALSE)-VLOOKUP(A33,'All Countries Data - Prev'!$A:$D,2,FALSE)</f>
        <v>715</v>
      </c>
      <c r="C33" s="13">
        <f>IFERROR(VLOOKUP(A33,'All Countries Data - Current'!$A$1:$D$230,3,FALSE)-VLOOKUP(A33,'All Countries Data - Prev'!$A:$D,3,FALSE), "No Data")</f>
        <v>12</v>
      </c>
      <c r="D33" s="15">
        <f>IF(TRIM(VLOOKUP(A33,'All Countries Data - Current'!$A$1:$D$230,4,FALSE))="No data","No Data",VLOOKUP(A33,'All Countries Data - Current'!$A$1:$D$230,4,FALSE)-VLOOKUP(A33,'All Countries Data - Prev'!$A:$D,4,FALSE))</f>
        <v>586</v>
      </c>
    </row>
    <row r="34" spans="1:4" x14ac:dyDescent="0.25">
      <c r="A34" t="s">
        <v>138</v>
      </c>
      <c r="B34" s="13">
        <f>VLOOKUP(A34,'All Countries Data - Current'!$A$1:$D$230,2,FALSE)-VLOOKUP(A34,'All Countries Data - Prev'!$A:$D,2,FALSE)</f>
        <v>1240</v>
      </c>
      <c r="C34" s="13">
        <f>IFERROR(VLOOKUP(A34,'All Countries Data - Current'!$A$1:$D$230,3,FALSE)-VLOOKUP(A34,'All Countries Data - Prev'!$A:$D,3,FALSE), "No Data")</f>
        <v>36</v>
      </c>
      <c r="D34" s="15">
        <f>IF(TRIM(VLOOKUP(A34,'All Countries Data - Current'!$A$1:$D$230,4,FALSE))="No data","No Data",VLOOKUP(A34,'All Countries Data - Current'!$A$1:$D$230,4,FALSE)-VLOOKUP(A34,'All Countries Data - Prev'!$A:$D,4,FALSE))</f>
        <v>715</v>
      </c>
    </row>
    <row r="35" spans="1:4" x14ac:dyDescent="0.25">
      <c r="A35" t="s">
        <v>85</v>
      </c>
      <c r="B35" s="13">
        <f>VLOOKUP(A35,'All Countries Data - Current'!$A$1:$D$230,2,FALSE)-VLOOKUP(A35,'All Countries Data - Prev'!$A:$D,2,FALSE)</f>
        <v>1313</v>
      </c>
      <c r="C35" s="13">
        <f>IFERROR(VLOOKUP(A35,'All Countries Data - Current'!$A$1:$D$230,3,FALSE)-VLOOKUP(A35,'All Countries Data - Prev'!$A:$D,3,FALSE), "No Data")</f>
        <v>6</v>
      </c>
      <c r="D35" s="15">
        <f>IF(TRIM(VLOOKUP(A35,'All Countries Data - Current'!$A$1:$D$230,4,FALSE))="No data","No Data",VLOOKUP(A35,'All Countries Data - Current'!$A$1:$D$230,4,FALSE)-VLOOKUP(A35,'All Countries Data - Prev'!$A:$D,4,FALSE))</f>
        <v>2046</v>
      </c>
    </row>
    <row r="36" spans="1:4" x14ac:dyDescent="0.25">
      <c r="A36" t="s">
        <v>134</v>
      </c>
      <c r="B36" s="13">
        <f>VLOOKUP(A36,'All Countries Data - Current'!$A$1:$D$230,2,FALSE)-VLOOKUP(A36,'All Countries Data - Prev'!$A:$D,2,FALSE)</f>
        <v>39</v>
      </c>
      <c r="C36" s="13">
        <f>IFERROR(VLOOKUP(A36,'All Countries Data - Current'!$A$1:$D$230,3,FALSE)-VLOOKUP(A36,'All Countries Data - Prev'!$A:$D,3,FALSE), "No Data")</f>
        <v>14</v>
      </c>
      <c r="D36" s="15">
        <f>IF(TRIM(VLOOKUP(A36,'All Countries Data - Current'!$A$1:$D$230,4,FALSE))="No data","No Data",VLOOKUP(A36,'All Countries Data - Current'!$A$1:$D$230,4,FALSE)-VLOOKUP(A36,'All Countries Data - Prev'!$A:$D,4,FALSE))</f>
        <v>0</v>
      </c>
    </row>
    <row r="37" spans="1:4" x14ac:dyDescent="0.25">
      <c r="A37" t="s">
        <v>98</v>
      </c>
      <c r="B37" s="13">
        <f>VLOOKUP(A37,'All Countries Data - Current'!$A$1:$D$230,2,FALSE)-VLOOKUP(A37,'All Countries Data - Prev'!$A:$D,2,FALSE)</f>
        <v>525</v>
      </c>
      <c r="C37" s="13">
        <f>IFERROR(VLOOKUP(A37,'All Countries Data - Current'!$A$1:$D$230,3,FALSE)-VLOOKUP(A37,'All Countries Data - Prev'!$A:$D,3,FALSE), "No Data")</f>
        <v>23</v>
      </c>
      <c r="D37" s="15">
        <f>IF(TRIM(VLOOKUP(A37,'All Countries Data - Current'!$A$1:$D$230,4,FALSE))="No data","No Data",VLOOKUP(A37,'All Countries Data - Current'!$A$1:$D$230,4,FALSE)-VLOOKUP(A37,'All Countries Data - Prev'!$A:$D,4,FALSE))</f>
        <v>357</v>
      </c>
    </row>
    <row r="38" spans="1:4" x14ac:dyDescent="0.25">
      <c r="A38" t="s">
        <v>106</v>
      </c>
      <c r="B38" s="13">
        <f>VLOOKUP(A38,'All Countries Data - Current'!$A$1:$D$230,2,FALSE)-VLOOKUP(A38,'All Countries Data - Prev'!$A:$D,2,FALSE)</f>
        <v>303</v>
      </c>
      <c r="C38" s="13">
        <f>IFERROR(VLOOKUP(A38,'All Countries Data - Current'!$A$1:$D$230,3,FALSE)-VLOOKUP(A38,'All Countries Data - Prev'!$A:$D,3,FALSE), "No Data")</f>
        <v>19</v>
      </c>
      <c r="D38" s="15">
        <f>IF(TRIM(VLOOKUP(A38,'All Countries Data - Current'!$A$1:$D$230,4,FALSE))="No data","No Data",VLOOKUP(A38,'All Countries Data - Current'!$A$1:$D$230,4,FALSE)-VLOOKUP(A38,'All Countries Data - Prev'!$A:$D,4,FALSE))</f>
        <v>215</v>
      </c>
    </row>
    <row r="39" spans="1:4" x14ac:dyDescent="0.25">
      <c r="A39" t="s">
        <v>122</v>
      </c>
      <c r="B39" s="13">
        <f>VLOOKUP(A39,'All Countries Data - Current'!$A$1:$D$230,2,FALSE)-VLOOKUP(A39,'All Countries Data - Prev'!$A:$D,2,FALSE)</f>
        <v>8</v>
      </c>
      <c r="C39" s="13">
        <f>IFERROR(VLOOKUP(A39,'All Countries Data - Current'!$A$1:$D$230,3,FALSE)-VLOOKUP(A39,'All Countries Data - Prev'!$A:$D,3,FALSE), "No Data")</f>
        <v>8</v>
      </c>
      <c r="D39" s="15">
        <f>IF(TRIM(VLOOKUP(A39,'All Countries Data - Current'!$A$1:$D$230,4,FALSE))="No data","No Data",VLOOKUP(A39,'All Countries Data - Current'!$A$1:$D$230,4,FALSE)-VLOOKUP(A39,'All Countries Data - Prev'!$A:$D,4,FALSE))</f>
        <v>0</v>
      </c>
    </row>
    <row r="40" spans="1:4" x14ac:dyDescent="0.25">
      <c r="A40" t="s">
        <v>41</v>
      </c>
      <c r="B40" s="13">
        <f>VLOOKUP(A40,'All Countries Data - Current'!$A$1:$D$230,2,FALSE)-VLOOKUP(A40,'All Countries Data - Prev'!$A:$D,2,FALSE)</f>
        <v>1141</v>
      </c>
      <c r="C40" s="13">
        <f>IFERROR(VLOOKUP(A40,'All Countries Data - Current'!$A$1:$D$230,3,FALSE)-VLOOKUP(A40,'All Countries Data - Prev'!$A:$D,3,FALSE), "No Data")</f>
        <v>24</v>
      </c>
      <c r="D40" s="15">
        <f>IF(TRIM(VLOOKUP(A40,'All Countries Data - Current'!$A$1:$D$230,4,FALSE))="No data","No Data",VLOOKUP(A40,'All Countries Data - Current'!$A$1:$D$230,4,FALSE)-VLOOKUP(A40,'All Countries Data - Prev'!$A:$D,4,FALSE))</f>
        <v>263</v>
      </c>
    </row>
    <row r="41" spans="1:4" x14ac:dyDescent="0.25">
      <c r="A41" t="s">
        <v>148</v>
      </c>
      <c r="B41" s="13">
        <f>VLOOKUP(A41,'All Countries Data - Current'!$A$1:$D$230,2,FALSE)-VLOOKUP(A41,'All Countries Data - Prev'!$A:$D,2,FALSE)</f>
        <v>1258</v>
      </c>
      <c r="C41" s="13">
        <f>IFERROR(VLOOKUP(A41,'All Countries Data - Current'!$A$1:$D$230,3,FALSE)-VLOOKUP(A41,'All Countries Data - Prev'!$A:$D,3,FALSE), "No Data")</f>
        <v>16</v>
      </c>
      <c r="D41" s="15">
        <f>IF(TRIM(VLOOKUP(A41,'All Countries Data - Current'!$A$1:$D$230,4,FALSE))="No data","No Data",VLOOKUP(A41,'All Countries Data - Current'!$A$1:$D$230,4,FALSE)-VLOOKUP(A41,'All Countries Data - Prev'!$A:$D,4,FALSE))</f>
        <v>258</v>
      </c>
    </row>
    <row r="42" spans="1:4" x14ac:dyDescent="0.25">
      <c r="A42" t="s">
        <v>70</v>
      </c>
      <c r="B42" s="13">
        <f>VLOOKUP(A42,'All Countries Data - Current'!$A$1:$D$230,2,FALSE)-VLOOKUP(A42,'All Countries Data - Prev'!$A:$D,2,FALSE)</f>
        <v>1226</v>
      </c>
      <c r="C42" s="13">
        <f>IFERROR(VLOOKUP(A42,'All Countries Data - Current'!$A$1:$D$230,3,FALSE)-VLOOKUP(A42,'All Countries Data - Prev'!$A:$D,3,FALSE), "No Data")</f>
        <v>36</v>
      </c>
      <c r="D42" s="15">
        <f>IF(TRIM(VLOOKUP(A42,'All Countries Data - Current'!$A$1:$D$230,4,FALSE))="No data","No Data",VLOOKUP(A42,'All Countries Data - Current'!$A$1:$D$230,4,FALSE)-VLOOKUP(A42,'All Countries Data - Prev'!$A:$D,4,FALSE))</f>
        <v>804</v>
      </c>
    </row>
    <row r="43" spans="1:4" x14ac:dyDescent="0.25">
      <c r="A43" t="s">
        <v>108</v>
      </c>
      <c r="B43" s="13">
        <f>VLOOKUP(A43,'All Countries Data - Current'!$A$1:$D$230,2,FALSE)-VLOOKUP(A43,'All Countries Data - Prev'!$A:$D,2,FALSE)</f>
        <v>341</v>
      </c>
      <c r="C43" s="13">
        <f>IFERROR(VLOOKUP(A43,'All Countries Data - Current'!$A$1:$D$230,3,FALSE)-VLOOKUP(A43,'All Countries Data - Prev'!$A:$D,3,FALSE), "No Data")</f>
        <v>26</v>
      </c>
      <c r="D43" s="15">
        <f>IF(TRIM(VLOOKUP(A43,'All Countries Data - Current'!$A$1:$D$230,4,FALSE))="No data","No Data",VLOOKUP(A43,'All Countries Data - Current'!$A$1:$D$230,4,FALSE)-VLOOKUP(A43,'All Countries Data - Prev'!$A:$D,4,FALSE))</f>
        <v>277</v>
      </c>
    </row>
    <row r="44" spans="1:4" x14ac:dyDescent="0.25">
      <c r="A44" t="s">
        <v>63</v>
      </c>
      <c r="B44" s="13">
        <f>VLOOKUP(A44,'All Countries Data - Current'!$A$1:$D$230,2,FALSE)-VLOOKUP(A44,'All Countries Data - Prev'!$A:$D,2,FALSE)</f>
        <v>286</v>
      </c>
      <c r="C44" s="13">
        <f>IFERROR(VLOOKUP(A44,'All Countries Data - Current'!$A$1:$D$230,3,FALSE)-VLOOKUP(A44,'All Countries Data - Prev'!$A:$D,3,FALSE), "No Data")</f>
        <v>5</v>
      </c>
      <c r="D44" s="15">
        <f>IF(TRIM(VLOOKUP(A44,'All Countries Data - Current'!$A$1:$D$230,4,FALSE))="No data","No Data",VLOOKUP(A44,'All Countries Data - Current'!$A$1:$D$230,4,FALSE)-VLOOKUP(A44,'All Countries Data - Prev'!$A:$D,4,FALSE))</f>
        <v>50</v>
      </c>
    </row>
    <row r="45" spans="1:4" x14ac:dyDescent="0.25">
      <c r="A45" t="s">
        <v>78</v>
      </c>
      <c r="B45" s="13">
        <f>VLOOKUP(A45,'All Countries Data - Current'!$A$1:$D$230,2,FALSE)-VLOOKUP(A45,'All Countries Data - Prev'!$A:$D,2,FALSE)</f>
        <v>1401</v>
      </c>
      <c r="C45" s="13">
        <f>IFERROR(VLOOKUP(A45,'All Countries Data - Current'!$A$1:$D$230,3,FALSE)-VLOOKUP(A45,'All Countries Data - Prev'!$A:$D,3,FALSE), "No Data")</f>
        <v>3</v>
      </c>
      <c r="D45" s="15">
        <f>IF(TRIM(VLOOKUP(A45,'All Countries Data - Current'!$A$1:$D$230,4,FALSE))="No data","No Data",VLOOKUP(A45,'All Countries Data - Current'!$A$1:$D$230,4,FALSE)-VLOOKUP(A45,'All Countries Data - Prev'!$A:$D,4,FALSE))</f>
        <v>536</v>
      </c>
    </row>
    <row r="46" spans="1:4" x14ac:dyDescent="0.25">
      <c r="A46" t="s">
        <v>124</v>
      </c>
      <c r="B46" s="13">
        <f>VLOOKUP(A46,'All Countries Data - Current'!$A$1:$D$230,2,FALSE)-VLOOKUP(A46,'All Countries Data - Prev'!$A:$D,2,FALSE)</f>
        <v>179</v>
      </c>
      <c r="C46" s="13">
        <f>IFERROR(VLOOKUP(A46,'All Countries Data - Current'!$A$1:$D$230,3,FALSE)-VLOOKUP(A46,'All Countries Data - Prev'!$A:$D,3,FALSE), "No Data")</f>
        <v>1</v>
      </c>
      <c r="D46" s="15">
        <f>IF(TRIM(VLOOKUP(A46,'All Countries Data - Current'!$A$1:$D$230,4,FALSE))="No data","No Data",VLOOKUP(A46,'All Countries Data - Current'!$A$1:$D$230,4,FALSE)-VLOOKUP(A46,'All Countries Data - Prev'!$A:$D,4,FALSE))</f>
        <v>31</v>
      </c>
    </row>
    <row r="47" spans="1:4" x14ac:dyDescent="0.25">
      <c r="A47" t="s">
        <v>154</v>
      </c>
      <c r="B47" s="13">
        <f>VLOOKUP(A47,'All Countries Data - Current'!$A$1:$D$230,2,FALSE)-VLOOKUP(A47,'All Countries Data - Prev'!$A:$D,2,FALSE)</f>
        <v>77</v>
      </c>
      <c r="C47" s="13">
        <f>IFERROR(VLOOKUP(A47,'All Countries Data - Current'!$A$1:$D$230,3,FALSE)-VLOOKUP(A47,'All Countries Data - Prev'!$A:$D,3,FALSE), "No Data")</f>
        <v>3</v>
      </c>
      <c r="D47" s="15">
        <f>IF(TRIM(VLOOKUP(A47,'All Countries Data - Current'!$A$1:$D$230,4,FALSE))="No data","No Data",VLOOKUP(A47,'All Countries Data - Current'!$A$1:$D$230,4,FALSE)-VLOOKUP(A47,'All Countries Data - Prev'!$A:$D,4,FALSE))</f>
        <v>150</v>
      </c>
    </row>
    <row r="48" spans="1:4" x14ac:dyDescent="0.25">
      <c r="A48" t="s">
        <v>92</v>
      </c>
      <c r="B48" s="13">
        <f>VLOOKUP(A48,'All Countries Data - Current'!$A$1:$D$230,2,FALSE)-VLOOKUP(A48,'All Countries Data - Prev'!$A:$D,2,FALSE)</f>
        <v>37</v>
      </c>
      <c r="C48" s="13">
        <f>IFERROR(VLOOKUP(A48,'All Countries Data - Current'!$A$1:$D$230,3,FALSE)-VLOOKUP(A48,'All Countries Data - Prev'!$A:$D,3,FALSE), "No Data")</f>
        <v>1</v>
      </c>
      <c r="D48" s="15">
        <f>IF(TRIM(VLOOKUP(A48,'All Countries Data - Current'!$A$1:$D$230,4,FALSE))="No data","No Data",VLOOKUP(A48,'All Countries Data - Current'!$A$1:$D$230,4,FALSE)-VLOOKUP(A48,'All Countries Data - Prev'!$A:$D,4,FALSE))</f>
        <v>71</v>
      </c>
    </row>
    <row r="49" spans="1:4" x14ac:dyDescent="0.25">
      <c r="A49" t="s">
        <v>52</v>
      </c>
      <c r="B49" s="13">
        <f>VLOOKUP(A49,'All Countries Data - Current'!$A$1:$D$230,2,FALSE)-VLOOKUP(A49,'All Countries Data - Prev'!$A:$D,2,FALSE)</f>
        <v>0</v>
      </c>
      <c r="C49" s="13">
        <f>IFERROR(VLOOKUP(A49,'All Countries Data - Current'!$A$1:$D$230,3,FALSE)-VLOOKUP(A49,'All Countries Data - Prev'!$A:$D,3,FALSE), "No Data")</f>
        <v>0</v>
      </c>
      <c r="D49" s="15">
        <f>IF(TRIM(VLOOKUP(A49,'All Countries Data - Current'!$A$1:$D$230,4,FALSE))="No data","No Data",VLOOKUP(A49,'All Countries Data - Current'!$A$1:$D$230,4,FALSE)-VLOOKUP(A49,'All Countries Data - Prev'!$A:$D,4,FALSE))</f>
        <v>0</v>
      </c>
    </row>
    <row r="50" spans="1:4" x14ac:dyDescent="0.25">
      <c r="A50" t="s">
        <v>72</v>
      </c>
      <c r="B50" s="13">
        <f>VLOOKUP(A50,'All Countries Data - Current'!$A$1:$D$230,2,FALSE)-VLOOKUP(A50,'All Countries Data - Prev'!$A:$D,2,FALSE)</f>
        <v>314</v>
      </c>
      <c r="C50" s="13">
        <f>IFERROR(VLOOKUP(A50,'All Countries Data - Current'!$A$1:$D$230,3,FALSE)-VLOOKUP(A50,'All Countries Data - Prev'!$A:$D,3,FALSE), "No Data")</f>
        <v>2</v>
      </c>
      <c r="D50" s="15">
        <f>IF(TRIM(VLOOKUP(A50,'All Countries Data - Current'!$A$1:$D$230,4,FALSE))="No data","No Data",VLOOKUP(A50,'All Countries Data - Current'!$A$1:$D$230,4,FALSE)-VLOOKUP(A50,'All Countries Data - Prev'!$A:$D,4,FALSE))</f>
        <v>280</v>
      </c>
    </row>
    <row r="51" spans="1:4" x14ac:dyDescent="0.25">
      <c r="A51" t="s">
        <v>83</v>
      </c>
      <c r="B51" s="13">
        <f>VLOOKUP(A51,'All Countries Data - Current'!$A$1:$D$230,2,FALSE)-VLOOKUP(A51,'All Countries Data - Prev'!$A:$D,2,FALSE)</f>
        <v>1933</v>
      </c>
      <c r="C51" s="13">
        <f>IFERROR(VLOOKUP(A51,'All Countries Data - Current'!$A$1:$D$230,3,FALSE)-VLOOKUP(A51,'All Countries Data - Prev'!$A:$D,3,FALSE), "No Data")</f>
        <v>56</v>
      </c>
      <c r="D51" s="15">
        <f>IF(TRIM(VLOOKUP(A51,'All Countries Data - Current'!$A$1:$D$230,4,FALSE))="No data","No Data",VLOOKUP(A51,'All Countries Data - Current'!$A$1:$D$230,4,FALSE)-VLOOKUP(A51,'All Countries Data - Prev'!$A:$D,4,FALSE))</f>
        <v>642</v>
      </c>
    </row>
    <row r="52" spans="1:4" x14ac:dyDescent="0.25">
      <c r="A52" t="s">
        <v>166</v>
      </c>
      <c r="B52" s="13">
        <f>VLOOKUP(A52,'All Countries Data - Current'!$A$1:$D$230,2,FALSE)-VLOOKUP(A52,'All Countries Data - Prev'!$A:$D,2,FALSE)</f>
        <v>695</v>
      </c>
      <c r="C52" s="13">
        <f>IFERROR(VLOOKUP(A52,'All Countries Data - Current'!$A$1:$D$230,3,FALSE)-VLOOKUP(A52,'All Countries Data - Prev'!$A:$D,3,FALSE), "No Data")</f>
        <v>12</v>
      </c>
      <c r="D52" s="15">
        <f>IF(TRIM(VLOOKUP(A52,'All Countries Data - Current'!$A$1:$D$230,4,FALSE))="No data","No Data",VLOOKUP(A52,'All Countries Data - Current'!$A$1:$D$230,4,FALSE)-VLOOKUP(A52,'All Countries Data - Prev'!$A:$D,4,FALSE))</f>
        <v>31</v>
      </c>
    </row>
    <row r="53" spans="1:4" x14ac:dyDescent="0.25">
      <c r="A53" t="s">
        <v>91</v>
      </c>
      <c r="B53" s="13">
        <f>VLOOKUP(A53,'All Countries Data - Current'!$A$1:$D$230,2,FALSE)-VLOOKUP(A53,'All Countries Data - Prev'!$A:$D,2,FALSE)</f>
        <v>778</v>
      </c>
      <c r="C53" s="13">
        <f>IFERROR(VLOOKUP(A53,'All Countries Data - Current'!$A$1:$D$230,3,FALSE)-VLOOKUP(A53,'All Countries Data - Prev'!$A:$D,3,FALSE), "No Data")</f>
        <v>16</v>
      </c>
      <c r="D53" s="15">
        <f>IF(TRIM(VLOOKUP(A53,'All Countries Data - Current'!$A$1:$D$230,4,FALSE))="No data","No Data",VLOOKUP(A53,'All Countries Data - Current'!$A$1:$D$230,4,FALSE)-VLOOKUP(A53,'All Countries Data - Prev'!$A:$D,4,FALSE))</f>
        <v>1127</v>
      </c>
    </row>
    <row r="54" spans="1:4" x14ac:dyDescent="0.25">
      <c r="A54" t="s">
        <v>17</v>
      </c>
      <c r="B54" s="13">
        <f>VLOOKUP(A54,'All Countries Data - Current'!$A$1:$D$230,2,FALSE)-VLOOKUP(A54,'All Countries Data - Prev'!$A:$D,2,FALSE)</f>
        <v>663</v>
      </c>
      <c r="C54" s="13">
        <f>IFERROR(VLOOKUP(A54,'All Countries Data - Current'!$A$1:$D$230,3,FALSE)-VLOOKUP(A54,'All Countries Data - Prev'!$A:$D,3,FALSE), "No Data")</f>
        <v>4</v>
      </c>
      <c r="D54" s="15">
        <f>IF(TRIM(VLOOKUP(A54,'All Countries Data - Current'!$A$1:$D$230,4,FALSE))="No data","No Data",VLOOKUP(A54,'All Countries Data - Current'!$A$1:$D$230,4,FALSE)-VLOOKUP(A54,'All Countries Data - Prev'!$A:$D,4,FALSE))</f>
        <v>166</v>
      </c>
    </row>
    <row r="55" spans="1:4" x14ac:dyDescent="0.25">
      <c r="A55" t="s">
        <v>114</v>
      </c>
      <c r="B55" s="13">
        <f>VLOOKUP(A55,'All Countries Data - Current'!$A$1:$D$230,2,FALSE)-VLOOKUP(A55,'All Countries Data - Prev'!$A:$D,2,FALSE)</f>
        <v>245</v>
      </c>
      <c r="C55" s="13">
        <f>IFERROR(VLOOKUP(A55,'All Countries Data - Current'!$A$1:$D$230,3,FALSE)-VLOOKUP(A55,'All Countries Data - Prev'!$A:$D,3,FALSE), "No Data")</f>
        <v>3</v>
      </c>
      <c r="D55" s="15">
        <f>IF(TRIM(VLOOKUP(A55,'All Countries Data - Current'!$A$1:$D$230,4,FALSE))="No data","No Data",VLOOKUP(A55,'All Countries Data - Current'!$A$1:$D$230,4,FALSE)-VLOOKUP(A55,'All Countries Data - Prev'!$A:$D,4,FALSE))</f>
        <v>278</v>
      </c>
    </row>
    <row r="56" spans="1:4" x14ac:dyDescent="0.25">
      <c r="A56" t="s">
        <v>131</v>
      </c>
      <c r="B56" s="13">
        <f>VLOOKUP(A56,'All Countries Data - Current'!$A$1:$D$230,2,FALSE)-VLOOKUP(A56,'All Countries Data - Prev'!$A:$D,2,FALSE)</f>
        <v>39</v>
      </c>
      <c r="C56" s="13">
        <f>IFERROR(VLOOKUP(A56,'All Countries Data - Current'!$A$1:$D$230,3,FALSE)-VLOOKUP(A56,'All Countries Data - Prev'!$A:$D,3,FALSE), "No Data")</f>
        <v>0</v>
      </c>
      <c r="D56" s="15">
        <f>IF(TRIM(VLOOKUP(A56,'All Countries Data - Current'!$A$1:$D$230,4,FALSE))="No data","No Data",VLOOKUP(A56,'All Countries Data - Current'!$A$1:$D$230,4,FALSE)-VLOOKUP(A56,'All Countries Data - Prev'!$A:$D,4,FALSE))</f>
        <v>57</v>
      </c>
    </row>
    <row r="57" spans="1:4" x14ac:dyDescent="0.25">
      <c r="A57" t="s">
        <v>101</v>
      </c>
      <c r="B57" s="13">
        <f>VLOOKUP(A57,'All Countries Data - Current'!$A$1:$D$230,2,FALSE)-VLOOKUP(A57,'All Countries Data - Prev'!$A:$D,2,FALSE)</f>
        <v>69</v>
      </c>
      <c r="C57" s="13">
        <f>IFERROR(VLOOKUP(A57,'All Countries Data - Current'!$A$1:$D$230,3,FALSE)-VLOOKUP(A57,'All Countries Data - Prev'!$A:$D,3,FALSE), "No Data")</f>
        <v>0</v>
      </c>
      <c r="D57" s="15">
        <f>IF(TRIM(VLOOKUP(A57,'All Countries Data - Current'!$A$1:$D$230,4,FALSE))="No data","No Data",VLOOKUP(A57,'All Countries Data - Current'!$A$1:$D$230,4,FALSE)-VLOOKUP(A57,'All Countries Data - Prev'!$A:$D,4,FALSE))</f>
        <v>0</v>
      </c>
    </row>
    <row r="58" spans="1:4" x14ac:dyDescent="0.25">
      <c r="A58" t="s">
        <v>167</v>
      </c>
      <c r="B58" s="13">
        <f>VLOOKUP(A58,'All Countries Data - Current'!$A$1:$D$230,2,FALSE)-VLOOKUP(A58,'All Countries Data - Prev'!$A:$D,2,FALSE)</f>
        <v>50</v>
      </c>
      <c r="C58" s="13">
        <f>IFERROR(VLOOKUP(A58,'All Countries Data - Current'!$A$1:$D$230,3,FALSE)-VLOOKUP(A58,'All Countries Data - Prev'!$A:$D,3,FALSE), "No Data")</f>
        <v>2</v>
      </c>
      <c r="D58" s="15">
        <f>IF(TRIM(VLOOKUP(A58,'All Countries Data - Current'!$A$1:$D$230,4,FALSE))="No data","No Data",VLOOKUP(A58,'All Countries Data - Current'!$A$1:$D$230,4,FALSE)-VLOOKUP(A58,'All Countries Data - Prev'!$A:$D,4,FALSE))</f>
        <v>22</v>
      </c>
    </row>
    <row r="59" spans="1:4" x14ac:dyDescent="0.25">
      <c r="A59" t="s">
        <v>32</v>
      </c>
      <c r="B59" s="13">
        <f>VLOOKUP(A59,'All Countries Data - Current'!$A$1:$D$230,2,FALSE)-VLOOKUP(A59,'All Countries Data - Prev'!$A:$D,2,FALSE)</f>
        <v>219</v>
      </c>
      <c r="C59" s="13">
        <f>IFERROR(VLOOKUP(A59,'All Countries Data - Current'!$A$1:$D$230,3,FALSE)-VLOOKUP(A59,'All Countries Data - Prev'!$A:$D,3,FALSE), "No Data")</f>
        <v>17</v>
      </c>
      <c r="D59" s="15">
        <f>IF(TRIM(VLOOKUP(A59,'All Countries Data - Current'!$A$1:$D$230,4,FALSE))="No data","No Data",VLOOKUP(A59,'All Countries Data - Current'!$A$1:$D$230,4,FALSE)-VLOOKUP(A59,'All Countries Data - Prev'!$A:$D,4,FALSE))</f>
        <v>275</v>
      </c>
    </row>
    <row r="60" spans="1:4" x14ac:dyDescent="0.25">
      <c r="A60" t="s">
        <v>168</v>
      </c>
      <c r="B60" s="13">
        <f>VLOOKUP(A60,'All Countries Data - Current'!$A$1:$D$230,2,FALSE)-VLOOKUP(A60,'All Countries Data - Prev'!$A:$D,2,FALSE)</f>
        <v>514</v>
      </c>
      <c r="C60" s="13">
        <f>IFERROR(VLOOKUP(A60,'All Countries Data - Current'!$A$1:$D$230,3,FALSE)-VLOOKUP(A60,'All Countries Data - Prev'!$A:$D,3,FALSE), "No Data")</f>
        <v>18</v>
      </c>
      <c r="D60" s="15">
        <f>IF(TRIM(VLOOKUP(A60,'All Countries Data - Current'!$A$1:$D$230,4,FALSE))="No data","No Data",VLOOKUP(A60,'All Countries Data - Current'!$A$1:$D$230,4,FALSE)-VLOOKUP(A60,'All Countries Data - Prev'!$A:$D,4,FALSE))</f>
        <v>192</v>
      </c>
    </row>
    <row r="61" spans="1:4" x14ac:dyDescent="0.25">
      <c r="A61" t="s">
        <v>36</v>
      </c>
      <c r="B61" s="13">
        <f>VLOOKUP(A61,'All Countries Data - Current'!$A$1:$D$230,2,FALSE)-VLOOKUP(A61,'All Countries Data - Prev'!$A:$D,2,FALSE)</f>
        <v>291</v>
      </c>
      <c r="C61" s="13">
        <f>IFERROR(VLOOKUP(A61,'All Countries Data - Current'!$A$1:$D$230,3,FALSE)-VLOOKUP(A61,'All Countries Data - Prev'!$A:$D,3,FALSE), "No Data")</f>
        <v>0</v>
      </c>
      <c r="D61" s="15">
        <f>IF(TRIM(VLOOKUP(A61,'All Countries Data - Current'!$A$1:$D$230,4,FALSE))="No data","No Data",VLOOKUP(A61,'All Countries Data - Current'!$A$1:$D$230,4,FALSE)-VLOOKUP(A61,'All Countries Data - Prev'!$A:$D,4,FALSE))</f>
        <v>110</v>
      </c>
    </row>
    <row r="62" spans="1:4" x14ac:dyDescent="0.25">
      <c r="A62" t="s">
        <v>169</v>
      </c>
      <c r="B62" s="13">
        <f>VLOOKUP(A62,'All Countries Data - Current'!$A$1:$D$230,2,FALSE)-VLOOKUP(A62,'All Countries Data - Prev'!$A:$D,2,FALSE)</f>
        <v>66</v>
      </c>
      <c r="C62" s="13">
        <f>IFERROR(VLOOKUP(A62,'All Countries Data - Current'!$A$1:$D$230,3,FALSE)-VLOOKUP(A62,'All Countries Data - Prev'!$A:$D,3,FALSE), "No Data")</f>
        <v>2</v>
      </c>
      <c r="D62" s="15">
        <f>IF(TRIM(VLOOKUP(A62,'All Countries Data - Current'!$A$1:$D$230,4,FALSE))="No data","No Data",VLOOKUP(A62,'All Countries Data - Current'!$A$1:$D$230,4,FALSE)-VLOOKUP(A62,'All Countries Data - Prev'!$A:$D,4,FALSE))</f>
        <v>63</v>
      </c>
    </row>
    <row r="63" spans="1:4" x14ac:dyDescent="0.25">
      <c r="A63" t="s">
        <v>38</v>
      </c>
      <c r="B63" s="13">
        <f>VLOOKUP(A63,'All Countries Data - Current'!$A$1:$D$230,2,FALSE)-VLOOKUP(A63,'All Countries Data - Prev'!$A:$D,2,FALSE)</f>
        <v>621</v>
      </c>
      <c r="C63" s="13">
        <f>IFERROR(VLOOKUP(A63,'All Countries Data - Current'!$A$1:$D$230,3,FALSE)-VLOOKUP(A63,'All Countries Data - Prev'!$A:$D,3,FALSE), "No Data")</f>
        <v>2</v>
      </c>
      <c r="D63" s="15">
        <f>IF(TRIM(VLOOKUP(A63,'All Countries Data - Current'!$A$1:$D$230,4,FALSE))="No data","No Data",VLOOKUP(A63,'All Countries Data - Current'!$A$1:$D$230,4,FALSE)-VLOOKUP(A63,'All Countries Data - Prev'!$A:$D,4,FALSE))</f>
        <v>88</v>
      </c>
    </row>
    <row r="64" spans="1:4" x14ac:dyDescent="0.25">
      <c r="A64" t="s">
        <v>105</v>
      </c>
      <c r="B64" s="13">
        <f>VLOOKUP(A64,'All Countries Data - Current'!$A$1:$D$230,2,FALSE)-VLOOKUP(A64,'All Countries Data - Prev'!$A:$D,2,FALSE)</f>
        <v>13</v>
      </c>
      <c r="C64" s="13">
        <f>IFERROR(VLOOKUP(A64,'All Countries Data - Current'!$A$1:$D$230,3,FALSE)-VLOOKUP(A64,'All Countries Data - Prev'!$A:$D,3,FALSE), "No Data")</f>
        <v>0</v>
      </c>
      <c r="D64" s="15">
        <f>IF(TRIM(VLOOKUP(A64,'All Countries Data - Current'!$A$1:$D$230,4,FALSE))="No data","No Data",VLOOKUP(A64,'All Countries Data - Current'!$A$1:$D$230,4,FALSE)-VLOOKUP(A64,'All Countries Data - Prev'!$A:$D,4,FALSE))</f>
        <v>0</v>
      </c>
    </row>
    <row r="65" spans="1:4" x14ac:dyDescent="0.25">
      <c r="A65" t="s">
        <v>93</v>
      </c>
      <c r="B65" s="13">
        <f>VLOOKUP(A65,'All Countries Data - Current'!$A$1:$D$230,2,FALSE)-VLOOKUP(A65,'All Countries Data - Prev'!$A:$D,2,FALSE)</f>
        <v>654</v>
      </c>
      <c r="C65" s="13">
        <f>IFERROR(VLOOKUP(A65,'All Countries Data - Current'!$A$1:$D$230,3,FALSE)-VLOOKUP(A65,'All Countries Data - Prev'!$A:$D,3,FALSE), "No Data")</f>
        <v>9</v>
      </c>
      <c r="D65" s="15">
        <f>IF(TRIM(VLOOKUP(A65,'All Countries Data - Current'!$A$1:$D$230,4,FALSE))="No data","No Data",VLOOKUP(A65,'All Countries Data - Current'!$A$1:$D$230,4,FALSE)-VLOOKUP(A65,'All Countries Data - Prev'!$A:$D,4,FALSE))</f>
        <v>343</v>
      </c>
    </row>
    <row r="66" spans="1:4" x14ac:dyDescent="0.25">
      <c r="A66" t="s">
        <v>88</v>
      </c>
      <c r="B66" s="13">
        <f>VLOOKUP(A66,'All Countries Data - Current'!$A$1:$D$230,2,FALSE)-VLOOKUP(A66,'All Countries Data - Prev'!$A:$D,2,FALSE)</f>
        <v>153</v>
      </c>
      <c r="C66" s="13">
        <f>IFERROR(VLOOKUP(A66,'All Countries Data - Current'!$A$1:$D$230,3,FALSE)-VLOOKUP(A66,'All Countries Data - Prev'!$A:$D,3,FALSE), "No Data")</f>
        <v>2</v>
      </c>
      <c r="D66" s="15">
        <f>IF(TRIM(VLOOKUP(A66,'All Countries Data - Current'!$A$1:$D$230,4,FALSE))="No data","No Data",VLOOKUP(A66,'All Countries Data - Current'!$A$1:$D$230,4,FALSE)-VLOOKUP(A66,'All Countries Data - Prev'!$A:$D,4,FALSE))</f>
        <v>88</v>
      </c>
    </row>
    <row r="67" spans="1:4" x14ac:dyDescent="0.25">
      <c r="A67" t="s">
        <v>152</v>
      </c>
      <c r="B67" s="13">
        <f>VLOOKUP(A67,'All Countries Data - Current'!$A$1:$D$230,2,FALSE)-VLOOKUP(A67,'All Countries Data - Prev'!$A:$D,2,FALSE)</f>
        <v>2</v>
      </c>
      <c r="C67" s="13">
        <f>IFERROR(VLOOKUP(A67,'All Countries Data - Current'!$A$1:$D$230,3,FALSE)-VLOOKUP(A67,'All Countries Data - Prev'!$A:$D,3,FALSE), "No Data")</f>
        <v>1</v>
      </c>
      <c r="D67" s="15">
        <f>IF(TRIM(VLOOKUP(A67,'All Countries Data - Current'!$A$1:$D$230,4,FALSE))="No data","No Data",VLOOKUP(A67,'All Countries Data - Current'!$A$1:$D$230,4,FALSE)-VLOOKUP(A67,'All Countries Data - Prev'!$A:$D,4,FALSE))</f>
        <v>39</v>
      </c>
    </row>
    <row r="68" spans="1:4" x14ac:dyDescent="0.25">
      <c r="A68" t="s">
        <v>55</v>
      </c>
      <c r="B68" s="13">
        <f>VLOOKUP(A68,'All Countries Data - Current'!$A$1:$D$230,2,FALSE)-VLOOKUP(A68,'All Countries Data - Prev'!$A:$D,2,FALSE)</f>
        <v>364</v>
      </c>
      <c r="C68" s="13">
        <f>IFERROR(VLOOKUP(A68,'All Countries Data - Current'!$A$1:$D$230,3,FALSE)-VLOOKUP(A68,'All Countries Data - Prev'!$A:$D,3,FALSE), "No Data")</f>
        <v>22</v>
      </c>
      <c r="D68" s="15">
        <f>IF(TRIM(VLOOKUP(A68,'All Countries Data - Current'!$A$1:$D$230,4,FALSE))="No data","No Data",VLOOKUP(A68,'All Countries Data - Current'!$A$1:$D$230,4,FALSE)-VLOOKUP(A68,'All Countries Data - Prev'!$A:$D,4,FALSE))</f>
        <v>90</v>
      </c>
    </row>
    <row r="69" spans="1:4" x14ac:dyDescent="0.25">
      <c r="A69" t="s">
        <v>145</v>
      </c>
      <c r="B69" s="13">
        <f>VLOOKUP(A69,'All Countries Data - Current'!$A$1:$D$230,2,FALSE)-VLOOKUP(A69,'All Countries Data - Prev'!$A:$D,2,FALSE)</f>
        <v>2</v>
      </c>
      <c r="C69" s="13">
        <f>IFERROR(VLOOKUP(A69,'All Countries Data - Current'!$A$1:$D$230,3,FALSE)-VLOOKUP(A69,'All Countries Data - Prev'!$A:$D,3,FALSE), "No Data")</f>
        <v>0</v>
      </c>
      <c r="D69" s="15">
        <f>IF(TRIM(VLOOKUP(A69,'All Countries Data - Current'!$A$1:$D$230,4,FALSE))="No data","No Data",VLOOKUP(A69,'All Countries Data - Current'!$A$1:$D$230,4,FALSE)-VLOOKUP(A69,'All Countries Data - Prev'!$A:$D,4,FALSE))</f>
        <v>14</v>
      </c>
    </row>
    <row r="70" spans="1:4" x14ac:dyDescent="0.25">
      <c r="A70" t="s">
        <v>127</v>
      </c>
      <c r="B70" s="13">
        <f>VLOOKUP(A70,'All Countries Data - Current'!$A$1:$D$230,2,FALSE)-VLOOKUP(A70,'All Countries Data - Prev'!$A:$D,2,FALSE)</f>
        <v>39</v>
      </c>
      <c r="C70" s="13">
        <f>IFERROR(VLOOKUP(A70,'All Countries Data - Current'!$A$1:$D$230,3,FALSE)-VLOOKUP(A70,'All Countries Data - Prev'!$A:$D,3,FALSE), "No Data")</f>
        <v>1</v>
      </c>
      <c r="D70" s="15">
        <f>IF(TRIM(VLOOKUP(A70,'All Countries Data - Current'!$A$1:$D$230,4,FALSE))="No data","No Data",VLOOKUP(A70,'All Countries Data - Current'!$A$1:$D$230,4,FALSE)-VLOOKUP(A70,'All Countries Data - Prev'!$A:$D,4,FALSE))</f>
        <v>0</v>
      </c>
    </row>
    <row r="71" spans="1:4" x14ac:dyDescent="0.25">
      <c r="A71" t="s">
        <v>57</v>
      </c>
      <c r="B71" s="13">
        <f>VLOOKUP(A71,'All Countries Data - Current'!$A$1:$D$230,2,FALSE)-VLOOKUP(A71,'All Countries Data - Prev'!$A:$D,2,FALSE)</f>
        <v>485</v>
      </c>
      <c r="C71" s="13">
        <f>IFERROR(VLOOKUP(A71,'All Countries Data - Current'!$A$1:$D$230,3,FALSE)-VLOOKUP(A71,'All Countries Data - Prev'!$A:$D,3,FALSE), "No Data")</f>
        <v>9</v>
      </c>
      <c r="D71" s="15">
        <f>IF(TRIM(VLOOKUP(A71,'All Countries Data - Current'!$A$1:$D$230,4,FALSE))="No data","No Data",VLOOKUP(A71,'All Countries Data - Current'!$A$1:$D$230,4,FALSE)-VLOOKUP(A71,'All Countries Data - Prev'!$A:$D,4,FALSE))</f>
        <v>47</v>
      </c>
    </row>
    <row r="72" spans="1:4" x14ac:dyDescent="0.25">
      <c r="A72" t="s">
        <v>82</v>
      </c>
      <c r="B72" s="13">
        <f>VLOOKUP(A72,'All Countries Data - Current'!$A$1:$D$230,2,FALSE)-VLOOKUP(A72,'All Countries Data - Prev'!$A:$D,2,FALSE)</f>
        <v>185</v>
      </c>
      <c r="C72" s="13">
        <f>IFERROR(VLOOKUP(A72,'All Countries Data - Current'!$A$1:$D$230,3,FALSE)-VLOOKUP(A72,'All Countries Data - Prev'!$A:$D,3,FALSE), "No Data")</f>
        <v>17</v>
      </c>
      <c r="D72" s="15">
        <f>IF(TRIM(VLOOKUP(A72,'All Countries Data - Current'!$A$1:$D$230,4,FALSE))="No data","No Data",VLOOKUP(A72,'All Countries Data - Current'!$A$1:$D$230,4,FALSE)-VLOOKUP(A72,'All Countries Data - Prev'!$A:$D,4,FALSE))</f>
        <v>68</v>
      </c>
    </row>
    <row r="73" spans="1:4" x14ac:dyDescent="0.25">
      <c r="A73" t="s">
        <v>44</v>
      </c>
      <c r="B73" s="13">
        <f>VLOOKUP(A73,'All Countries Data - Current'!$A$1:$D$230,2,FALSE)-VLOOKUP(A73,'All Countries Data - Prev'!$A:$D,2,FALSE)</f>
        <v>283</v>
      </c>
      <c r="C73" s="13">
        <f>IFERROR(VLOOKUP(A73,'All Countries Data - Current'!$A$1:$D$230,3,FALSE)-VLOOKUP(A73,'All Countries Data - Prev'!$A:$D,3,FALSE), "No Data")</f>
        <v>1</v>
      </c>
      <c r="D73" s="15">
        <f>IF(TRIM(VLOOKUP(A73,'All Countries Data - Current'!$A$1:$D$230,4,FALSE))="No data","No Data",VLOOKUP(A73,'All Countries Data - Current'!$A$1:$D$230,4,FALSE)-VLOOKUP(A73,'All Countries Data - Prev'!$A:$D,4,FALSE))</f>
        <v>0</v>
      </c>
    </row>
    <row r="74" spans="1:4" x14ac:dyDescent="0.25">
      <c r="A74" t="s">
        <v>96</v>
      </c>
      <c r="B74" s="13">
        <f>VLOOKUP(A74,'All Countries Data - Current'!$A$1:$D$230,2,FALSE)-VLOOKUP(A74,'All Countries Data - Prev'!$A:$D,2,FALSE)</f>
        <v>81</v>
      </c>
      <c r="C74" s="13">
        <f>IFERROR(VLOOKUP(A74,'All Countries Data - Current'!$A$1:$D$230,3,FALSE)-VLOOKUP(A74,'All Countries Data - Prev'!$A:$D,3,FALSE), "No Data")</f>
        <v>0</v>
      </c>
      <c r="D74" s="15">
        <f>IF(TRIM(VLOOKUP(A74,'All Countries Data - Current'!$A$1:$D$230,4,FALSE))="No data","No Data",VLOOKUP(A74,'All Countries Data - Current'!$A$1:$D$230,4,FALSE)-VLOOKUP(A74,'All Countries Data - Prev'!$A:$D,4,FALSE))</f>
        <v>52</v>
      </c>
    </row>
    <row r="75" spans="1:4" x14ac:dyDescent="0.25">
      <c r="A75" t="s">
        <v>99</v>
      </c>
      <c r="B75" s="13">
        <f>VLOOKUP(A75,'All Countries Data - Current'!$A$1:$D$230,2,FALSE)-VLOOKUP(A75,'All Countries Data - Prev'!$A:$D,2,FALSE)</f>
        <v>99</v>
      </c>
      <c r="C75" s="13">
        <f>IFERROR(VLOOKUP(A75,'All Countries Data - Current'!$A$1:$D$230,3,FALSE)-VLOOKUP(A75,'All Countries Data - Prev'!$A:$D,3,FALSE), "No Data")</f>
        <v>0</v>
      </c>
      <c r="D75" s="15">
        <f>IF(TRIM(VLOOKUP(A75,'All Countries Data - Current'!$A$1:$D$230,4,FALSE))="No data","No Data",VLOOKUP(A75,'All Countries Data - Current'!$A$1:$D$230,4,FALSE)-VLOOKUP(A75,'All Countries Data - Prev'!$A:$D,4,FALSE))</f>
        <v>102</v>
      </c>
    </row>
    <row r="76" spans="1:4" x14ac:dyDescent="0.25">
      <c r="A76" t="s">
        <v>19</v>
      </c>
      <c r="B76" s="13">
        <f>VLOOKUP(A76,'All Countries Data - Current'!$A$1:$D$230,2,FALSE)-VLOOKUP(A76,'All Countries Data - Prev'!$A:$D,2,FALSE)</f>
        <v>89</v>
      </c>
      <c r="C76" s="13">
        <f>IFERROR(VLOOKUP(A76,'All Countries Data - Current'!$A$1:$D$230,3,FALSE)-VLOOKUP(A76,'All Countries Data - Prev'!$A:$D,3,FALSE), "No Data")</f>
        <v>0</v>
      </c>
      <c r="D76" s="15">
        <f>IF(TRIM(VLOOKUP(A76,'All Countries Data - Current'!$A$1:$D$230,4,FALSE))="No data","No Data",VLOOKUP(A76,'All Countries Data - Current'!$A$1:$D$230,4,FALSE)-VLOOKUP(A76,'All Countries Data - Prev'!$A:$D,4,FALSE))</f>
        <v>110</v>
      </c>
    </row>
    <row r="77" spans="1:4" x14ac:dyDescent="0.25">
      <c r="A77" t="s">
        <v>170</v>
      </c>
      <c r="B77" s="13">
        <f>VLOOKUP(A77,'All Countries Data - Current'!$A$1:$D$230,2,FALSE)-VLOOKUP(A77,'All Countries Data - Prev'!$A:$D,2,FALSE)</f>
        <v>284</v>
      </c>
      <c r="C77" s="13">
        <f>IFERROR(VLOOKUP(A77,'All Countries Data - Current'!$A$1:$D$230,3,FALSE)-VLOOKUP(A77,'All Countries Data - Prev'!$A:$D,3,FALSE), "No Data")</f>
        <v>8</v>
      </c>
      <c r="D77" s="15">
        <f>IF(TRIM(VLOOKUP(A77,'All Countries Data - Current'!$A$1:$D$230,4,FALSE))="No data","No Data",VLOOKUP(A77,'All Countries Data - Current'!$A$1:$D$230,4,FALSE)-VLOOKUP(A77,'All Countries Data - Prev'!$A:$D,4,FALSE))</f>
        <v>28</v>
      </c>
    </row>
    <row r="78" spans="1:4" x14ac:dyDescent="0.25">
      <c r="A78" t="s">
        <v>73</v>
      </c>
      <c r="B78" s="13">
        <f>VLOOKUP(A78,'All Countries Data - Current'!$A$1:$D$230,2,FALSE)-VLOOKUP(A78,'All Countries Data - Prev'!$A:$D,2,FALSE)</f>
        <v>53</v>
      </c>
      <c r="C78" s="13">
        <f>IFERROR(VLOOKUP(A78,'All Countries Data - Current'!$A$1:$D$230,3,FALSE)-VLOOKUP(A78,'All Countries Data - Prev'!$A:$D,3,FALSE), "No Data")</f>
        <v>283</v>
      </c>
      <c r="D78" s="15">
        <f>IF(TRIM(VLOOKUP(A78,'All Countries Data - Current'!$A$1:$D$230,4,FALSE))="No data","No Data",VLOOKUP(A78,'All Countries Data - Current'!$A$1:$D$230,4,FALSE)-VLOOKUP(A78,'All Countries Data - Prev'!$A:$D,4,FALSE))</f>
        <v>126</v>
      </c>
    </row>
    <row r="79" spans="1:4" x14ac:dyDescent="0.25">
      <c r="A79" t="s">
        <v>37</v>
      </c>
      <c r="B79" s="13">
        <f>VLOOKUP(A79,'All Countries Data - Current'!$A$1:$D$230,2,FALSE)-VLOOKUP(A79,'All Countries Data - Prev'!$A:$D,2,FALSE)</f>
        <v>42</v>
      </c>
      <c r="C79" s="13">
        <f>IFERROR(VLOOKUP(A79,'All Countries Data - Current'!$A$1:$D$230,3,FALSE)-VLOOKUP(A79,'All Countries Data - Prev'!$A:$D,3,FALSE), "No Data")</f>
        <v>0</v>
      </c>
      <c r="D79" s="15">
        <f>IF(TRIM(VLOOKUP(A79,'All Countries Data - Current'!$A$1:$D$230,4,FALSE))="No data","No Data",VLOOKUP(A79,'All Countries Data - Current'!$A$1:$D$230,4,FALSE)-VLOOKUP(A79,'All Countries Data - Prev'!$A:$D,4,FALSE))</f>
        <v>24</v>
      </c>
    </row>
    <row r="80" spans="1:4" x14ac:dyDescent="0.25">
      <c r="A80" t="s">
        <v>143</v>
      </c>
      <c r="B80" s="13">
        <f>VLOOKUP(A80,'All Countries Data - Current'!$A$1:$D$230,2,FALSE)-VLOOKUP(A80,'All Countries Data - Prev'!$A:$D,2,FALSE)</f>
        <v>323</v>
      </c>
      <c r="C80" s="13">
        <f>IFERROR(VLOOKUP(A80,'All Countries Data - Current'!$A$1:$D$230,3,FALSE)-VLOOKUP(A80,'All Countries Data - Prev'!$A:$D,3,FALSE), "No Data")</f>
        <v>1</v>
      </c>
      <c r="D80" s="15">
        <f>IF(TRIM(VLOOKUP(A80,'All Countries Data - Current'!$A$1:$D$230,4,FALSE))="No data","No Data",VLOOKUP(A80,'All Countries Data - Current'!$A$1:$D$230,4,FALSE)-VLOOKUP(A80,'All Countries Data - Prev'!$A:$D,4,FALSE))</f>
        <v>96</v>
      </c>
    </row>
    <row r="81" spans="1:4" x14ac:dyDescent="0.25">
      <c r="A81" t="s">
        <v>118</v>
      </c>
      <c r="B81" s="13">
        <f>VLOOKUP(A81,'All Countries Data - Current'!$A$1:$D$230,2,FALSE)-VLOOKUP(A81,'All Countries Data - Prev'!$A:$D,2,FALSE)</f>
        <v>6</v>
      </c>
      <c r="C81" s="13">
        <f>IFERROR(VLOOKUP(A81,'All Countries Data - Current'!$A$1:$D$230,3,FALSE)-VLOOKUP(A81,'All Countries Data - Prev'!$A:$D,3,FALSE), "No Data")</f>
        <v>0</v>
      </c>
      <c r="D81" s="15">
        <f>IF(TRIM(VLOOKUP(A81,'All Countries Data - Current'!$A$1:$D$230,4,FALSE))="No data","No Data",VLOOKUP(A81,'All Countries Data - Current'!$A$1:$D$230,4,FALSE)-VLOOKUP(A81,'All Countries Data - Prev'!$A:$D,4,FALSE))</f>
        <v>0</v>
      </c>
    </row>
    <row r="82" spans="1:4" x14ac:dyDescent="0.25">
      <c r="A82" t="s">
        <v>121</v>
      </c>
      <c r="B82" s="13">
        <f>VLOOKUP(A82,'All Countries Data - Current'!$A$1:$D$230,2,FALSE)-VLOOKUP(A82,'All Countries Data - Prev'!$A:$D,2,FALSE)</f>
        <v>10</v>
      </c>
      <c r="C82" s="13">
        <f>IFERROR(VLOOKUP(A82,'All Countries Data - Current'!$A$1:$D$230,3,FALSE)-VLOOKUP(A82,'All Countries Data - Prev'!$A:$D,3,FALSE), "No Data")</f>
        <v>1</v>
      </c>
      <c r="D82" s="15">
        <f>IF(TRIM(VLOOKUP(A82,'All Countries Data - Current'!$A$1:$D$230,4,FALSE))="No data","No Data",VLOOKUP(A82,'All Countries Data - Current'!$A$1:$D$230,4,FALSE)-VLOOKUP(A82,'All Countries Data - Prev'!$A:$D,4,FALSE))</f>
        <v>31</v>
      </c>
    </row>
    <row r="83" spans="1:4" x14ac:dyDescent="0.25">
      <c r="A83" t="s">
        <v>171</v>
      </c>
      <c r="B83" s="13">
        <f>VLOOKUP(A83,'All Countries Data - Current'!$A$1:$D$230,2,FALSE)-VLOOKUP(A83,'All Countries Data - Prev'!$A:$D,2,FALSE)</f>
        <v>114</v>
      </c>
      <c r="C83" s="13">
        <f>IFERROR(VLOOKUP(A83,'All Countries Data - Current'!$A$1:$D$230,3,FALSE)-VLOOKUP(A83,'All Countries Data - Prev'!$A:$D,3,FALSE), "No Data")</f>
        <v>0</v>
      </c>
      <c r="D83" s="15">
        <f>IF(TRIM(VLOOKUP(A83,'All Countries Data - Current'!$A$1:$D$230,4,FALSE))="No data","No Data",VLOOKUP(A83,'All Countries Data - Current'!$A$1:$D$230,4,FALSE)-VLOOKUP(A83,'All Countries Data - Prev'!$A:$D,4,FALSE))</f>
        <v>176</v>
      </c>
    </row>
    <row r="84" spans="1:4" x14ac:dyDescent="0.25">
      <c r="A84" t="s">
        <v>58</v>
      </c>
      <c r="B84" s="13">
        <f>VLOOKUP(A84,'All Countries Data - Current'!$A$1:$D$230,2,FALSE)-VLOOKUP(A84,'All Countries Data - Prev'!$A:$D,2,FALSE)</f>
        <v>124</v>
      </c>
      <c r="C84" s="13">
        <f>IFERROR(VLOOKUP(A84,'All Countries Data - Current'!$A$1:$D$230,3,FALSE)-VLOOKUP(A84,'All Countries Data - Prev'!$A:$D,3,FALSE), "No Data")</f>
        <v>2</v>
      </c>
      <c r="D84" s="15">
        <f>IF(TRIM(VLOOKUP(A84,'All Countries Data - Current'!$A$1:$D$230,4,FALSE))="No data","No Data",VLOOKUP(A84,'All Countries Data - Current'!$A$1:$D$230,4,FALSE)-VLOOKUP(A84,'All Countries Data - Prev'!$A:$D,4,FALSE))</f>
        <v>0</v>
      </c>
    </row>
    <row r="85" spans="1:4" x14ac:dyDescent="0.25">
      <c r="A85" t="s">
        <v>172</v>
      </c>
      <c r="B85" s="13">
        <f>VLOOKUP(A85,'All Countries Data - Current'!$A$1:$D$230,2,FALSE)-VLOOKUP(A85,'All Countries Data - Prev'!$A:$D,2,FALSE)</f>
        <v>212</v>
      </c>
      <c r="C85" s="13">
        <f>IFERROR(VLOOKUP(A85,'All Countries Data - Current'!$A$1:$D$230,3,FALSE)-VLOOKUP(A85,'All Countries Data - Prev'!$A:$D,3,FALSE), "No Data")</f>
        <v>8</v>
      </c>
      <c r="D85" s="15">
        <f>IF(TRIM(VLOOKUP(A85,'All Countries Data - Current'!$A$1:$D$230,4,FALSE))="No data","No Data",VLOOKUP(A85,'All Countries Data - Current'!$A$1:$D$230,4,FALSE)-VLOOKUP(A85,'All Countries Data - Prev'!$A:$D,4,FALSE))</f>
        <v>11</v>
      </c>
    </row>
    <row r="86" spans="1:4" x14ac:dyDescent="0.25">
      <c r="A86" t="s">
        <v>35</v>
      </c>
      <c r="B86" s="13">
        <f>VLOOKUP(A86,'All Countries Data - Current'!$A$1:$D$230,2,FALSE)-VLOOKUP(A86,'All Countries Data - Prev'!$A:$D,2,FALSE)</f>
        <v>193</v>
      </c>
      <c r="C86" s="13">
        <f>IFERROR(VLOOKUP(A86,'All Countries Data - Current'!$A$1:$D$230,3,FALSE)-VLOOKUP(A86,'All Countries Data - Prev'!$A:$D,3,FALSE), "No Data")</f>
        <v>0</v>
      </c>
      <c r="D86" s="15">
        <f>IF(TRIM(VLOOKUP(A86,'All Countries Data - Current'!$A$1:$D$230,4,FALSE))="No data","No Data",VLOOKUP(A86,'All Countries Data - Current'!$A$1:$D$230,4,FALSE)-VLOOKUP(A86,'All Countries Data - Prev'!$A:$D,4,FALSE))</f>
        <v>123</v>
      </c>
    </row>
    <row r="87" spans="1:4" x14ac:dyDescent="0.25">
      <c r="A87" t="s">
        <v>46</v>
      </c>
      <c r="B87" s="13">
        <f>VLOOKUP(A87,'All Countries Data - Current'!$A$1:$D$230,2,FALSE)-VLOOKUP(A87,'All Countries Data - Prev'!$A:$D,2,FALSE)</f>
        <v>82</v>
      </c>
      <c r="C87" s="13">
        <f>IFERROR(VLOOKUP(A87,'All Countries Data - Current'!$A$1:$D$230,3,FALSE)-VLOOKUP(A87,'All Countries Data - Prev'!$A:$D,3,FALSE), "No Data")</f>
        <v>2</v>
      </c>
      <c r="D87" s="15">
        <f>IF(TRIM(VLOOKUP(A87,'All Countries Data - Current'!$A$1:$D$230,4,FALSE))="No data","No Data",VLOOKUP(A87,'All Countries Data - Current'!$A$1:$D$230,4,FALSE)-VLOOKUP(A87,'All Countries Data - Prev'!$A:$D,4,FALSE))</f>
        <v>25</v>
      </c>
    </row>
    <row r="88" spans="1:4" x14ac:dyDescent="0.25">
      <c r="A88" t="s">
        <v>144</v>
      </c>
      <c r="B88" s="13">
        <f>VLOOKUP(A88,'All Countries Data - Current'!$A$1:$D$230,2,FALSE)-VLOOKUP(A88,'All Countries Data - Prev'!$A:$D,2,FALSE)</f>
        <v>6</v>
      </c>
      <c r="C88" s="13">
        <f>IFERROR(VLOOKUP(A88,'All Countries Data - Current'!$A$1:$D$230,3,FALSE)-VLOOKUP(A88,'All Countries Data - Prev'!$A:$D,3,FALSE), "No Data")</f>
        <v>0</v>
      </c>
      <c r="D88" s="15">
        <f>IF(TRIM(VLOOKUP(A88,'All Countries Data - Current'!$A$1:$D$230,4,FALSE))="No data","No Data",VLOOKUP(A88,'All Countries Data - Current'!$A$1:$D$230,4,FALSE)-VLOOKUP(A88,'All Countries Data - Prev'!$A:$D,4,FALSE))</f>
        <v>8</v>
      </c>
    </row>
    <row r="89" spans="1:4" x14ac:dyDescent="0.25">
      <c r="A89" t="s">
        <v>119</v>
      </c>
      <c r="B89" s="13">
        <f>VLOOKUP(A89,'All Countries Data - Current'!$A$1:$D$230,2,FALSE)-VLOOKUP(A89,'All Countries Data - Prev'!$A:$D,2,FALSE)</f>
        <v>9</v>
      </c>
      <c r="C89" s="13">
        <f>IFERROR(VLOOKUP(A89,'All Countries Data - Current'!$A$1:$D$230,3,FALSE)-VLOOKUP(A89,'All Countries Data - Prev'!$A:$D,3,FALSE), "No Data")</f>
        <v>1</v>
      </c>
      <c r="D89" s="15">
        <f>IF(TRIM(VLOOKUP(A89,'All Countries Data - Current'!$A$1:$D$230,4,FALSE))="No data","No Data",VLOOKUP(A89,'All Countries Data - Current'!$A$1:$D$230,4,FALSE)-VLOOKUP(A89,'All Countries Data - Prev'!$A:$D,4,FALSE))</f>
        <v>0</v>
      </c>
    </row>
    <row r="90" spans="1:4" x14ac:dyDescent="0.25">
      <c r="A90" t="s">
        <v>29</v>
      </c>
      <c r="B90" s="13">
        <f>VLOOKUP(A90,'All Countries Data - Current'!$A$1:$D$230,2,FALSE)-VLOOKUP(A90,'All Countries Data - Prev'!$A:$D,2,FALSE)</f>
        <v>232</v>
      </c>
      <c r="C90" s="13">
        <f>IFERROR(VLOOKUP(A90,'All Countries Data - Current'!$A$1:$D$230,3,FALSE)-VLOOKUP(A90,'All Countries Data - Prev'!$A:$D,3,FALSE), "No Data")</f>
        <v>4</v>
      </c>
      <c r="D90" s="15">
        <f>IF(TRIM(VLOOKUP(A90,'All Countries Data - Current'!$A$1:$D$230,4,FALSE))="No data","No Data",VLOOKUP(A90,'All Countries Data - Current'!$A$1:$D$230,4,FALSE)-VLOOKUP(A90,'All Countries Data - Prev'!$A:$D,4,FALSE))</f>
        <v>154</v>
      </c>
    </row>
    <row r="91" spans="1:4" x14ac:dyDescent="0.25">
      <c r="A91" t="s">
        <v>132</v>
      </c>
      <c r="B91" s="13">
        <f>VLOOKUP(A91,'All Countries Data - Current'!$A$1:$D$230,2,FALSE)-VLOOKUP(A91,'All Countries Data - Prev'!$A:$D,2,FALSE)</f>
        <v>79</v>
      </c>
      <c r="C91" s="13">
        <f>IFERROR(VLOOKUP(A91,'All Countries Data - Current'!$A$1:$D$230,3,FALSE)-VLOOKUP(A91,'All Countries Data - Prev'!$A:$D,3,FALSE), "No Data")</f>
        <v>3</v>
      </c>
      <c r="D91" s="15">
        <f>IF(TRIM(VLOOKUP(A91,'All Countries Data - Current'!$A$1:$D$230,4,FALSE))="No data","No Data",VLOOKUP(A91,'All Countries Data - Current'!$A$1:$D$230,4,FALSE)-VLOOKUP(A91,'All Countries Data - Prev'!$A:$D,4,FALSE))</f>
        <v>36</v>
      </c>
    </row>
    <row r="92" spans="1:4" x14ac:dyDescent="0.25">
      <c r="A92" t="s">
        <v>173</v>
      </c>
      <c r="B92" s="13">
        <f>VLOOKUP(A92,'All Countries Data - Current'!$A$1:$D$230,2,FALSE)-VLOOKUP(A92,'All Countries Data - Prev'!$A:$D,2,FALSE)</f>
        <v>71</v>
      </c>
      <c r="C92" s="13">
        <f>IFERROR(VLOOKUP(A92,'All Countries Data - Current'!$A$1:$D$230,3,FALSE)-VLOOKUP(A92,'All Countries Data - Prev'!$A:$D,3,FALSE), "No Data")</f>
        <v>1</v>
      </c>
      <c r="D92" s="15">
        <f>IF(TRIM(VLOOKUP(A92,'All Countries Data - Current'!$A$1:$D$230,4,FALSE))="No data","No Data",VLOOKUP(A92,'All Countries Data - Current'!$A$1:$D$230,4,FALSE)-VLOOKUP(A92,'All Countries Data - Prev'!$A:$D,4,FALSE))</f>
        <v>40</v>
      </c>
    </row>
    <row r="93" spans="1:4" x14ac:dyDescent="0.25">
      <c r="A93" t="s">
        <v>174</v>
      </c>
      <c r="B93" s="13">
        <f>VLOOKUP(A93,'All Countries Data - Current'!$A$1:$D$230,2,FALSE)-VLOOKUP(A93,'All Countries Data - Prev'!$A:$D,2,FALSE)</f>
        <v>159</v>
      </c>
      <c r="C93" s="13">
        <f>IFERROR(VLOOKUP(A93,'All Countries Data - Current'!$A$1:$D$230,3,FALSE)-VLOOKUP(A93,'All Countries Data - Prev'!$A:$D,3,FALSE), "No Data")</f>
        <v>1</v>
      </c>
      <c r="D93" s="15">
        <f>IF(TRIM(VLOOKUP(A93,'All Countries Data - Current'!$A$1:$D$230,4,FALSE))="No data","No Data",VLOOKUP(A93,'All Countries Data - Current'!$A$1:$D$230,4,FALSE)-VLOOKUP(A93,'All Countries Data - Prev'!$A:$D,4,FALSE))</f>
        <v>0</v>
      </c>
    </row>
    <row r="94" spans="1:4" x14ac:dyDescent="0.25">
      <c r="A94" t="s">
        <v>34</v>
      </c>
      <c r="B94" s="13">
        <f>VLOOKUP(A94,'All Countries Data - Current'!$A$1:$D$230,2,FALSE)-VLOOKUP(A94,'All Countries Data - Prev'!$A:$D,2,FALSE)</f>
        <v>350</v>
      </c>
      <c r="C94" s="13">
        <f>IFERROR(VLOOKUP(A94,'All Countries Data - Current'!$A$1:$D$230,3,FALSE)-VLOOKUP(A94,'All Countries Data - Prev'!$A:$D,3,FALSE), "No Data")</f>
        <v>8</v>
      </c>
      <c r="D94" s="15">
        <f>IF(TRIM(VLOOKUP(A94,'All Countries Data - Current'!$A$1:$D$230,4,FALSE))="No data","No Data",VLOOKUP(A94,'All Countries Data - Current'!$A$1:$D$230,4,FALSE)-VLOOKUP(A94,'All Countries Data - Prev'!$A:$D,4,FALSE))</f>
        <v>40</v>
      </c>
    </row>
    <row r="95" spans="1:4" x14ac:dyDescent="0.25">
      <c r="A95" t="s">
        <v>75</v>
      </c>
      <c r="B95" s="13">
        <f>VLOOKUP(A95,'All Countries Data - Current'!$A$1:$D$230,2,FALSE)-VLOOKUP(A95,'All Countries Data - Prev'!$A:$D,2,FALSE)</f>
        <v>48</v>
      </c>
      <c r="C95" s="13">
        <f>IFERROR(VLOOKUP(A95,'All Countries Data - Current'!$A$1:$D$230,3,FALSE)-VLOOKUP(A95,'All Countries Data - Prev'!$A:$D,3,FALSE), "No Data")</f>
        <v>1</v>
      </c>
      <c r="D95" s="15">
        <f>IF(TRIM(VLOOKUP(A95,'All Countries Data - Current'!$A$1:$D$230,4,FALSE))="No data","No Data",VLOOKUP(A95,'All Countries Data - Current'!$A$1:$D$230,4,FALSE)-VLOOKUP(A95,'All Countries Data - Prev'!$A:$D,4,FALSE))</f>
        <v>19</v>
      </c>
    </row>
    <row r="96" spans="1:4" x14ac:dyDescent="0.25">
      <c r="A96" t="s">
        <v>120</v>
      </c>
      <c r="B96" s="13">
        <f>VLOOKUP(A96,'All Countries Data - Current'!$A$1:$D$230,2,FALSE)-VLOOKUP(A96,'All Countries Data - Prev'!$A:$D,2,FALSE)</f>
        <v>0</v>
      </c>
      <c r="C96" s="13">
        <f>IFERROR(VLOOKUP(A96,'All Countries Data - Current'!$A$1:$D$230,3,FALSE)-VLOOKUP(A96,'All Countries Data - Prev'!$A:$D,3,FALSE), "No Data")</f>
        <v>2</v>
      </c>
      <c r="D96" s="15">
        <f>IF(TRIM(VLOOKUP(A96,'All Countries Data - Current'!$A$1:$D$230,4,FALSE))="No data","No Data",VLOOKUP(A96,'All Countries Data - Current'!$A$1:$D$230,4,FALSE)-VLOOKUP(A96,'All Countries Data - Prev'!$A:$D,4,FALSE))</f>
        <v>2</v>
      </c>
    </row>
    <row r="97" spans="1:4" x14ac:dyDescent="0.25">
      <c r="A97" t="s">
        <v>61</v>
      </c>
      <c r="B97" s="13">
        <f>VLOOKUP(A97,'All Countries Data - Current'!$A$1:$D$230,2,FALSE)-VLOOKUP(A97,'All Countries Data - Prev'!$A:$D,2,FALSE)</f>
        <v>5</v>
      </c>
      <c r="C97" s="13">
        <f>IFERROR(VLOOKUP(A97,'All Countries Data - Current'!$A$1:$D$230,3,FALSE)-VLOOKUP(A97,'All Countries Data - Prev'!$A:$D,3,FALSE), "No Data")</f>
        <v>0</v>
      </c>
      <c r="D97" s="15">
        <f>IF(TRIM(VLOOKUP(A97,'All Countries Data - Current'!$A$1:$D$230,4,FALSE))="No data","No Data",VLOOKUP(A97,'All Countries Data - Current'!$A$1:$D$230,4,FALSE)-VLOOKUP(A97,'All Countries Data - Prev'!$A:$D,4,FALSE))</f>
        <v>12</v>
      </c>
    </row>
    <row r="98" spans="1:4" x14ac:dyDescent="0.25">
      <c r="A98" t="s">
        <v>115</v>
      </c>
      <c r="B98" s="13">
        <f>VLOOKUP(A98,'All Countries Data - Current'!$A$1:$D$230,2,FALSE)-VLOOKUP(A98,'All Countries Data - Prev'!$A:$D,2,FALSE)</f>
        <v>38</v>
      </c>
      <c r="C98" s="13">
        <f>IFERROR(VLOOKUP(A98,'All Countries Data - Current'!$A$1:$D$230,3,FALSE)-VLOOKUP(A98,'All Countries Data - Prev'!$A:$D,3,FALSE), "No Data")</f>
        <v>2</v>
      </c>
      <c r="D98" s="15">
        <f>IF(TRIM(VLOOKUP(A98,'All Countries Data - Current'!$A$1:$D$230,4,FALSE))="No data","No Data",VLOOKUP(A98,'All Countries Data - Current'!$A$1:$D$230,4,FALSE)-VLOOKUP(A98,'All Countries Data - Prev'!$A:$D,4,FALSE))</f>
        <v>89</v>
      </c>
    </row>
    <row r="99" spans="1:4" x14ac:dyDescent="0.25">
      <c r="A99" t="s">
        <v>126</v>
      </c>
      <c r="B99" s="13">
        <f>VLOOKUP(A99,'All Countries Data - Current'!$A$1:$D$230,2,FALSE)-VLOOKUP(A99,'All Countries Data - Prev'!$A:$D,2,FALSE)</f>
        <v>18</v>
      </c>
      <c r="C99" s="13">
        <f>IFERROR(VLOOKUP(A99,'All Countries Data - Current'!$A$1:$D$230,3,FALSE)-VLOOKUP(A99,'All Countries Data - Prev'!$A:$D,3,FALSE), "No Data")</f>
        <v>0</v>
      </c>
      <c r="D99" s="15">
        <f>IF(TRIM(VLOOKUP(A99,'All Countries Data - Current'!$A$1:$D$230,4,FALSE))="No data","No Data",VLOOKUP(A99,'All Countries Data - Current'!$A$1:$D$230,4,FALSE)-VLOOKUP(A99,'All Countries Data - Prev'!$A:$D,4,FALSE))</f>
        <v>7</v>
      </c>
    </row>
    <row r="100" spans="1:4" x14ac:dyDescent="0.25">
      <c r="A100" t="s">
        <v>141</v>
      </c>
      <c r="B100" s="13">
        <f>VLOOKUP(A100,'All Countries Data - Current'!$A$1:$D$230,2,FALSE)-VLOOKUP(A100,'All Countries Data - Prev'!$A:$D,2,FALSE)</f>
        <v>26</v>
      </c>
      <c r="C100" s="13">
        <f>IFERROR(VLOOKUP(A100,'All Countries Data - Current'!$A$1:$D$230,3,FALSE)-VLOOKUP(A100,'All Countries Data - Prev'!$A:$D,3,FALSE), "No Data")</f>
        <v>0</v>
      </c>
      <c r="D100" s="15">
        <f>IF(TRIM(VLOOKUP(A100,'All Countries Data - Current'!$A$1:$D$230,4,FALSE))="No data","No Data",VLOOKUP(A100,'All Countries Data - Current'!$A$1:$D$230,4,FALSE)-VLOOKUP(A100,'All Countries Data - Prev'!$A:$D,4,FALSE))</f>
        <v>85</v>
      </c>
    </row>
    <row r="101" spans="1:4" x14ac:dyDescent="0.25">
      <c r="A101" t="s">
        <v>140</v>
      </c>
      <c r="B101" s="13">
        <f>VLOOKUP(A101,'All Countries Data - Current'!$A$1:$D$230,2,FALSE)-VLOOKUP(A101,'All Countries Data - Prev'!$A:$D,2,FALSE)</f>
        <v>2</v>
      </c>
      <c r="C101" s="13">
        <f>IFERROR(VLOOKUP(A101,'All Countries Data - Current'!$A$1:$D$230,3,FALSE)-VLOOKUP(A101,'All Countries Data - Prev'!$A:$D,3,FALSE), "No Data")</f>
        <v>0</v>
      </c>
      <c r="D101" s="15">
        <f>IF(TRIM(VLOOKUP(A101,'All Countries Data - Current'!$A$1:$D$230,4,FALSE))="No data","No Data",VLOOKUP(A101,'All Countries Data - Current'!$A$1:$D$230,4,FALSE)-VLOOKUP(A101,'All Countries Data - Prev'!$A:$D,4,FALSE))</f>
        <v>0</v>
      </c>
    </row>
    <row r="102" spans="1:4" x14ac:dyDescent="0.25">
      <c r="A102" t="s">
        <v>5</v>
      </c>
      <c r="B102" s="13">
        <f>VLOOKUP(A102,'All Countries Data - Current'!$A$1:$D$230,2,FALSE)-VLOOKUP(A102,'All Countries Data - Prev'!$A:$D,2,FALSE)</f>
        <v>0</v>
      </c>
      <c r="C102" s="13">
        <f>IFERROR(VLOOKUP(A102,'All Countries Data - Current'!$A$1:$D$230,3,FALSE)-VLOOKUP(A102,'All Countries Data - Prev'!$A:$D,3,FALSE), "No Data")</f>
        <v>0</v>
      </c>
      <c r="D102" s="15">
        <f>IF(TRIM(VLOOKUP(A102,'All Countries Data - Current'!$A$1:$D$230,4,FALSE))="No data","No Data",VLOOKUP(A102,'All Countries Data - Current'!$A$1:$D$230,4,FALSE)-VLOOKUP(A102,'All Countries Data - Prev'!$A:$D,4,FALSE))</f>
        <v>0</v>
      </c>
    </row>
    <row r="103" spans="1:4" x14ac:dyDescent="0.25">
      <c r="A103" t="s">
        <v>123</v>
      </c>
      <c r="B103" s="13">
        <f>VLOOKUP(A103,'All Countries Data - Current'!$A$1:$D$230,2,FALSE)-VLOOKUP(A103,'All Countries Data - Prev'!$A:$D,2,FALSE)</f>
        <v>0</v>
      </c>
      <c r="C103" s="13">
        <f>IFERROR(VLOOKUP(A103,'All Countries Data - Current'!$A$1:$D$230,3,FALSE)-VLOOKUP(A103,'All Countries Data - Prev'!$A:$D,3,FALSE), "No Data")</f>
        <v>0</v>
      </c>
      <c r="D103" s="15">
        <f>IF(TRIM(VLOOKUP(A103,'All Countries Data - Current'!$A$1:$D$230,4,FALSE))="No data","No Data",VLOOKUP(A103,'All Countries Data - Current'!$A$1:$D$230,4,FALSE)-VLOOKUP(A103,'All Countries Data - Prev'!$A:$D,4,FALSE))</f>
        <v>0</v>
      </c>
    </row>
    <row r="104" spans="1:4" x14ac:dyDescent="0.25">
      <c r="A104" t="s">
        <v>117</v>
      </c>
      <c r="B104" s="13">
        <f>VLOOKUP(A104,'All Countries Data - Current'!$A$1:$D$230,2,FALSE)-VLOOKUP(A104,'All Countries Data - Prev'!$A:$D,2,FALSE)</f>
        <v>13</v>
      </c>
      <c r="C104" s="13">
        <f>IFERROR(VLOOKUP(A104,'All Countries Data - Current'!$A$1:$D$230,3,FALSE)-VLOOKUP(A104,'All Countries Data - Prev'!$A:$D,3,FALSE), "No Data")</f>
        <v>3</v>
      </c>
      <c r="D104" s="15">
        <f>IF(TRIM(VLOOKUP(A104,'All Countries Data - Current'!$A$1:$D$230,4,FALSE))="No data","No Data",VLOOKUP(A104,'All Countries Data - Current'!$A$1:$D$230,4,FALSE)-VLOOKUP(A104,'All Countries Data - Prev'!$A:$D,4,FALSE))</f>
        <v>38</v>
      </c>
    </row>
    <row r="105" spans="1:4" x14ac:dyDescent="0.25">
      <c r="A105" t="s">
        <v>10</v>
      </c>
      <c r="B105" s="13">
        <f>VLOOKUP(A105,'All Countries Data - Current'!$A$1:$D$230,2,FALSE)-VLOOKUP(A105,'All Countries Data - Prev'!$A:$D,2,FALSE)</f>
        <v>0</v>
      </c>
      <c r="C105" s="13">
        <f>IFERROR(VLOOKUP(A105,'All Countries Data - Current'!$A$1:$D$230,3,FALSE)-VLOOKUP(A105,'All Countries Data - Prev'!$A:$D,3,FALSE), "No Data")</f>
        <v>0</v>
      </c>
      <c r="D105" s="15">
        <f>IF(TRIM(VLOOKUP(A105,'All Countries Data - Current'!$A$1:$D$230,4,FALSE))="No data","No Data",VLOOKUP(A105,'All Countries Data - Current'!$A$1:$D$230,4,FALSE)-VLOOKUP(A105,'All Countries Data - Prev'!$A:$D,4,FALSE))</f>
        <v>0</v>
      </c>
    </row>
    <row r="106" spans="1:4" x14ac:dyDescent="0.25">
      <c r="A106" t="s">
        <v>22</v>
      </c>
      <c r="B106" s="13">
        <f>VLOOKUP(A106,'All Countries Data - Current'!$A$1:$D$230,2,FALSE)-VLOOKUP(A106,'All Countries Data - Prev'!$A:$D,2,FALSE)</f>
        <v>39</v>
      </c>
      <c r="C106" s="13">
        <f>IFERROR(VLOOKUP(A106,'All Countries Data - Current'!$A$1:$D$230,3,FALSE)-VLOOKUP(A106,'All Countries Data - Prev'!$A:$D,3,FALSE), "No Data")</f>
        <v>2</v>
      </c>
      <c r="D106" s="15">
        <f>IF(TRIM(VLOOKUP(A106,'All Countries Data - Current'!$A$1:$D$230,4,FALSE))="No data","No Data",VLOOKUP(A106,'All Countries Data - Current'!$A$1:$D$230,4,FALSE)-VLOOKUP(A106,'All Countries Data - Prev'!$A:$D,4,FALSE))</f>
        <v>15</v>
      </c>
    </row>
    <row r="107" spans="1:4" x14ac:dyDescent="0.25">
      <c r="A107" t="s">
        <v>102</v>
      </c>
      <c r="B107" s="13">
        <f>VLOOKUP(A107,'All Countries Data - Current'!$A$1:$D$230,2,FALSE)-VLOOKUP(A107,'All Countries Data - Prev'!$A:$D,2,FALSE)</f>
        <v>3</v>
      </c>
      <c r="C107" s="13">
        <f>IFERROR(VLOOKUP(A107,'All Countries Data - Current'!$A$1:$D$230,3,FALSE)-VLOOKUP(A107,'All Countries Data - Prev'!$A:$D,3,FALSE), "No Data")</f>
        <v>0</v>
      </c>
      <c r="D107" s="15">
        <f>IF(TRIM(VLOOKUP(A107,'All Countries Data - Current'!$A$1:$D$230,4,FALSE))="No data","No Data",VLOOKUP(A107,'All Countries Data - Current'!$A$1:$D$230,4,FALSE)-VLOOKUP(A107,'All Countries Data - Prev'!$A:$D,4,FALSE))</f>
        <v>8</v>
      </c>
    </row>
    <row r="108" spans="1:4" x14ac:dyDescent="0.25">
      <c r="A108" t="s">
        <v>103</v>
      </c>
      <c r="B108" s="13">
        <f>VLOOKUP(A108,'All Countries Data - Current'!$A$1:$D$230,2,FALSE)-VLOOKUP(A108,'All Countries Data - Prev'!$A:$D,2,FALSE)</f>
        <v>1</v>
      </c>
      <c r="C108" s="13">
        <f>IFERROR(VLOOKUP(A108,'All Countries Data - Current'!$A$1:$D$230,3,FALSE)-VLOOKUP(A108,'All Countries Data - Prev'!$A:$D,3,FALSE), "No Data")</f>
        <v>0</v>
      </c>
      <c r="D108" s="15">
        <f>IF(TRIM(VLOOKUP(A108,'All Countries Data - Current'!$A$1:$D$230,4,FALSE))="No data","No Data",VLOOKUP(A108,'All Countries Data - Current'!$A$1:$D$230,4,FALSE)-VLOOKUP(A108,'All Countries Data - Prev'!$A:$D,4,FALSE))</f>
        <v>0</v>
      </c>
    </row>
    <row r="109" spans="1:4" x14ac:dyDescent="0.25">
      <c r="A109" t="s">
        <v>51</v>
      </c>
      <c r="B109" s="13">
        <f>VLOOKUP(A109,'All Countries Data - Current'!$A$1:$D$230,2,FALSE)-VLOOKUP(A109,'All Countries Data - Prev'!$A:$D,2,FALSE)</f>
        <v>346</v>
      </c>
      <c r="C109" s="13">
        <f>IFERROR(VLOOKUP(A109,'All Countries Data - Current'!$A$1:$D$230,3,FALSE)-VLOOKUP(A109,'All Countries Data - Prev'!$A:$D,3,FALSE), "No Data")</f>
        <v>9</v>
      </c>
      <c r="D109" s="15">
        <f>IF(TRIM(VLOOKUP(A109,'All Countries Data - Current'!$A$1:$D$230,4,FALSE))="No data","No Data",VLOOKUP(A109,'All Countries Data - Current'!$A$1:$D$230,4,FALSE)-VLOOKUP(A109,'All Countries Data - Prev'!$A:$D,4,FALSE))</f>
        <v>583</v>
      </c>
    </row>
    <row r="110" spans="1:4" x14ac:dyDescent="0.25">
      <c r="A110" t="s">
        <v>27</v>
      </c>
      <c r="B110" s="13">
        <f>VLOOKUP(A110,'All Countries Data - Current'!$A$1:$D$230,2,FALSE)-VLOOKUP(A110,'All Countries Data - Prev'!$A:$D,2,FALSE)</f>
        <v>0</v>
      </c>
      <c r="C110" s="13">
        <f>IFERROR(VLOOKUP(A110,'All Countries Data - Current'!$A$1:$D$230,3,FALSE)-VLOOKUP(A110,'All Countries Data - Prev'!$A:$D,3,FALSE), "No Data")</f>
        <v>0</v>
      </c>
      <c r="D110" s="15">
        <f>IF(TRIM(VLOOKUP(A110,'All Countries Data - Current'!$A$1:$D$230,4,FALSE))="No data","No Data",VLOOKUP(A110,'All Countries Data - Current'!$A$1:$D$230,4,FALSE)-VLOOKUP(A110,'All Countries Data - Prev'!$A:$D,4,FALSE))</f>
        <v>0</v>
      </c>
    </row>
    <row r="111" spans="1:4" x14ac:dyDescent="0.25">
      <c r="A111" t="s">
        <v>60</v>
      </c>
      <c r="B111" s="13">
        <f>VLOOKUP(A111,'All Countries Data - Current'!$A$1:$D$230,2,FALSE)-VLOOKUP(A111,'All Countries Data - Prev'!$A:$D,2,FALSE)</f>
        <v>33</v>
      </c>
      <c r="C111" s="13">
        <f>IFERROR(VLOOKUP(A111,'All Countries Data - Current'!$A$1:$D$230,3,FALSE)-VLOOKUP(A111,'All Countries Data - Prev'!$A:$D,3,FALSE), "No Data")</f>
        <v>1</v>
      </c>
      <c r="D111" s="15">
        <f>IF(TRIM(VLOOKUP(A111,'All Countries Data - Current'!$A$1:$D$230,4,FALSE))="No data","No Data",VLOOKUP(A111,'All Countries Data - Current'!$A$1:$D$230,4,FALSE)-VLOOKUP(A111,'All Countries Data - Prev'!$A:$D,4,FALSE))</f>
        <v>5</v>
      </c>
    </row>
    <row r="112" spans="1:4" x14ac:dyDescent="0.25">
      <c r="A112" t="s">
        <v>86</v>
      </c>
      <c r="B112" s="13">
        <f>VLOOKUP(A112,'All Countries Data - Current'!$A$1:$D$230,2,FALSE)-VLOOKUP(A112,'All Countries Data - Prev'!$A:$D,2,FALSE)</f>
        <v>18</v>
      </c>
      <c r="C112" s="13">
        <f>IFERROR(VLOOKUP(A112,'All Countries Data - Current'!$A$1:$D$230,3,FALSE)-VLOOKUP(A112,'All Countries Data - Prev'!$A:$D,3,FALSE), "No Data")</f>
        <v>0</v>
      </c>
      <c r="D112" s="15">
        <f>IF(TRIM(VLOOKUP(A112,'All Countries Data - Current'!$A$1:$D$230,4,FALSE))="No data","No Data",VLOOKUP(A112,'All Countries Data - Current'!$A$1:$D$230,4,FALSE)-VLOOKUP(A112,'All Countries Data - Prev'!$A:$D,4,FALSE))</f>
        <v>16</v>
      </c>
    </row>
    <row r="113" spans="1:4" x14ac:dyDescent="0.25">
      <c r="A113" t="s">
        <v>89</v>
      </c>
      <c r="B113" s="13">
        <f>VLOOKUP(A113,'All Countries Data - Current'!$A$1:$D$230,2,FALSE)-VLOOKUP(A113,'All Countries Data - Prev'!$A:$D,2,FALSE)</f>
        <v>78</v>
      </c>
      <c r="C113" s="13">
        <f>IFERROR(VLOOKUP(A113,'All Countries Data - Current'!$A$1:$D$230,3,FALSE)-VLOOKUP(A113,'All Countries Data - Prev'!$A:$D,3,FALSE), "No Data")</f>
        <v>0</v>
      </c>
      <c r="D113" s="15">
        <f>IF(TRIM(VLOOKUP(A113,'All Countries Data - Current'!$A$1:$D$230,4,FALSE))="No data","No Data",VLOOKUP(A113,'All Countries Data - Current'!$A$1:$D$230,4,FALSE)-VLOOKUP(A113,'All Countries Data - Prev'!$A:$D,4,FALSE))</f>
        <v>35</v>
      </c>
    </row>
    <row r="114" spans="1:4" x14ac:dyDescent="0.25">
      <c r="A114" t="s">
        <v>28</v>
      </c>
      <c r="B114" s="13">
        <f>VLOOKUP(A114,'All Countries Data - Current'!$A$1:$D$230,2,FALSE)-VLOOKUP(A114,'All Countries Data - Prev'!$A:$D,2,FALSE)</f>
        <v>0</v>
      </c>
      <c r="C114" s="13">
        <f>IFERROR(VLOOKUP(A114,'All Countries Data - Current'!$A$1:$D$230,3,FALSE)-VLOOKUP(A114,'All Countries Data - Prev'!$A:$D,3,FALSE), "No Data")</f>
        <v>0</v>
      </c>
      <c r="D114" s="15">
        <f>IF(TRIM(VLOOKUP(A114,'All Countries Data - Current'!$A$1:$D$230,4,FALSE))="No data","No Data",VLOOKUP(A114,'All Countries Data - Current'!$A$1:$D$230,4,FALSE)-VLOOKUP(A114,'All Countries Data - Prev'!$A:$D,4,FALSE))</f>
        <v>0</v>
      </c>
    </row>
    <row r="115" spans="1:4" x14ac:dyDescent="0.25">
      <c r="A115" t="s">
        <v>175</v>
      </c>
      <c r="B115" s="13">
        <f>VLOOKUP(A115,'All Countries Data - Current'!$A$1:$D$230,2,FALSE)-VLOOKUP(A115,'All Countries Data - Prev'!$A:$D,2,FALSE)</f>
        <v>0</v>
      </c>
      <c r="C115" s="13">
        <f>IFERROR(VLOOKUP(A115,'All Countries Data - Current'!$A$1:$D$230,3,FALSE)-VLOOKUP(A115,'All Countries Data - Prev'!$A:$D,3,FALSE), "No Data")</f>
        <v>0</v>
      </c>
      <c r="D115" s="15">
        <f>IF(TRIM(VLOOKUP(A115,'All Countries Data - Current'!$A$1:$D$230,4,FALSE))="No data","No Data",VLOOKUP(A115,'All Countries Data - Current'!$A$1:$D$230,4,FALSE)-VLOOKUP(A115,'All Countries Data - Prev'!$A:$D,4,FALSE))</f>
        <v>0</v>
      </c>
    </row>
    <row r="116" spans="1:4" x14ac:dyDescent="0.25">
      <c r="A116" t="s">
        <v>8</v>
      </c>
      <c r="B116" s="13">
        <f>VLOOKUP(A116,'All Countries Data - Current'!$A$1:$D$230,2,FALSE)-VLOOKUP(A116,'All Countries Data - Prev'!$A:$D,2,FALSE)</f>
        <v>0</v>
      </c>
      <c r="C116" s="13">
        <f>IFERROR(VLOOKUP(A116,'All Countries Data - Current'!$A$1:$D$230,3,FALSE)-VLOOKUP(A116,'All Countries Data - Prev'!$A:$D,3,FALSE), "No Data")</f>
        <v>0</v>
      </c>
      <c r="D116" s="15">
        <f>IF(TRIM(VLOOKUP(A116,'All Countries Data - Current'!$A$1:$D$230,4,FALSE))="No data","No Data",VLOOKUP(A116,'All Countries Data - Current'!$A$1:$D$230,4,FALSE)-VLOOKUP(A116,'All Countries Data - Prev'!$A:$D,4,FALSE))</f>
        <v>0</v>
      </c>
    </row>
    <row r="117" spans="1:4" x14ac:dyDescent="0.25">
      <c r="A117" t="s">
        <v>45</v>
      </c>
      <c r="B117" s="13">
        <f>VLOOKUP(A117,'All Countries Data - Current'!$A$1:$D$230,2,FALSE)-VLOOKUP(A117,'All Countries Data - Prev'!$A:$D,2,FALSE)</f>
        <v>42</v>
      </c>
      <c r="C117" s="13">
        <f>IFERROR(VLOOKUP(A117,'All Countries Data - Current'!$A$1:$D$230,3,FALSE)-VLOOKUP(A117,'All Countries Data - Prev'!$A:$D,3,FALSE), "No Data")</f>
        <v>0</v>
      </c>
      <c r="D117" s="15">
        <f>IF(TRIM(VLOOKUP(A117,'All Countries Data - Current'!$A$1:$D$230,4,FALSE))="No data","No Data",VLOOKUP(A117,'All Countries Data - Current'!$A$1:$D$230,4,FALSE)-VLOOKUP(A117,'All Countries Data - Prev'!$A:$D,4,FALSE))</f>
        <v>1</v>
      </c>
    </row>
    <row r="118" spans="1:4" x14ac:dyDescent="0.25">
      <c r="A118" t="s">
        <v>24</v>
      </c>
      <c r="B118" s="13">
        <f>VLOOKUP(A118,'All Countries Data - Current'!$A$1:$D$230,2,FALSE)-VLOOKUP(A118,'All Countries Data - Prev'!$A:$D,2,FALSE)</f>
        <v>58</v>
      </c>
      <c r="C118" s="13">
        <f>IFERROR(VLOOKUP(A118,'All Countries Data - Current'!$A$1:$D$230,3,FALSE)-VLOOKUP(A118,'All Countries Data - Prev'!$A:$D,3,FALSE), "No Data")</f>
        <v>2</v>
      </c>
      <c r="D118" s="15">
        <f>IF(TRIM(VLOOKUP(A118,'All Countries Data - Current'!$A$1:$D$230,4,FALSE))="No data","No Data",VLOOKUP(A118,'All Countries Data - Current'!$A$1:$D$230,4,FALSE)-VLOOKUP(A118,'All Countries Data - Prev'!$A:$D,4,FALSE))</f>
        <v>20</v>
      </c>
    </row>
    <row r="119" spans="1:4" x14ac:dyDescent="0.25">
      <c r="A119" t="s">
        <v>153</v>
      </c>
      <c r="B119" s="13">
        <f>VLOOKUP(A119,'All Countries Data - Current'!$A$1:$D$230,2,FALSE)-VLOOKUP(A119,'All Countries Data - Prev'!$A:$D,2,FALSE)</f>
        <v>0</v>
      </c>
      <c r="C119" s="13">
        <f>IFERROR(VLOOKUP(A119,'All Countries Data - Current'!$A$1:$D$230,3,FALSE)-VLOOKUP(A119,'All Countries Data - Prev'!$A:$D,3,FALSE), "No Data")</f>
        <v>0</v>
      </c>
      <c r="D119" s="15">
        <f>IF(TRIM(VLOOKUP(A119,'All Countries Data - Current'!$A$1:$D$230,4,FALSE))="No data","No Data",VLOOKUP(A119,'All Countries Data - Current'!$A$1:$D$230,4,FALSE)-VLOOKUP(A119,'All Countries Data - Prev'!$A:$D,4,FALSE))</f>
        <v>0</v>
      </c>
    </row>
    <row r="120" spans="1:4" x14ac:dyDescent="0.25">
      <c r="A120" t="s">
        <v>21</v>
      </c>
      <c r="B120" s="13">
        <f>VLOOKUP(A120,'All Countries Data - Current'!$A$1:$D$230,2,FALSE)-VLOOKUP(A120,'All Countries Data - Prev'!$A:$D,2,FALSE)</f>
        <v>44</v>
      </c>
      <c r="C120" s="13">
        <f>IFERROR(VLOOKUP(A120,'All Countries Data - Current'!$A$1:$D$230,3,FALSE)-VLOOKUP(A120,'All Countries Data - Prev'!$A:$D,3,FALSE), "No Data")</f>
        <v>0</v>
      </c>
      <c r="D120" s="15">
        <f>IF(TRIM(VLOOKUP(A120,'All Countries Data - Current'!$A$1:$D$230,4,FALSE))="No data","No Data",VLOOKUP(A120,'All Countries Data - Current'!$A$1:$D$230,4,FALSE)-VLOOKUP(A120,'All Countries Data - Prev'!$A:$D,4,FALSE))</f>
        <v>20</v>
      </c>
    </row>
    <row r="121" spans="1:4" x14ac:dyDescent="0.25">
      <c r="A121" t="s">
        <v>176</v>
      </c>
      <c r="B121" s="13">
        <f>VLOOKUP(A121,'All Countries Data - Current'!$A$1:$D$230,2,FALSE)-VLOOKUP(A121,'All Countries Data - Prev'!$A:$D,2,FALSE)</f>
        <v>0</v>
      </c>
      <c r="C121" s="13">
        <f>IFERROR(VLOOKUP(A121,'All Countries Data - Current'!$A$1:$D$230,3,FALSE)-VLOOKUP(A121,'All Countries Data - Prev'!$A:$D,3,FALSE), "No Data")</f>
        <v>0</v>
      </c>
      <c r="D121" s="15">
        <f>IF(TRIM(VLOOKUP(A121,'All Countries Data - Current'!$A$1:$D$230,4,FALSE))="No data","No Data",VLOOKUP(A121,'All Countries Data - Current'!$A$1:$D$230,4,FALSE)-VLOOKUP(A121,'All Countries Data - Prev'!$A:$D,4,FALSE))</f>
        <v>0</v>
      </c>
    </row>
    <row r="122" spans="1:4" x14ac:dyDescent="0.25">
      <c r="A122" t="s">
        <v>177</v>
      </c>
      <c r="B122" s="13">
        <f>VLOOKUP(A122,'All Countries Data - Current'!$A$1:$D$230,2,FALSE)-VLOOKUP(A122,'All Countries Data - Prev'!$A:$D,2,FALSE)</f>
        <v>0</v>
      </c>
      <c r="C122" s="13">
        <f>IFERROR(VLOOKUP(A122,'All Countries Data - Current'!$A$1:$D$230,3,FALSE)-VLOOKUP(A122,'All Countries Data - Prev'!$A:$D,3,FALSE), "No Data")</f>
        <v>0</v>
      </c>
      <c r="D122" s="15">
        <f>IF(TRIM(VLOOKUP(A122,'All Countries Data - Current'!$A$1:$D$230,4,FALSE))="No data","No Data",VLOOKUP(A122,'All Countries Data - Current'!$A$1:$D$230,4,FALSE)-VLOOKUP(A122,'All Countries Data - Prev'!$A:$D,4,FALSE))</f>
        <v>0</v>
      </c>
    </row>
    <row r="123" spans="1:4" x14ac:dyDescent="0.25">
      <c r="A123" t="s">
        <v>109</v>
      </c>
      <c r="B123" s="13">
        <f>VLOOKUP(A123,'All Countries Data - Current'!$A$1:$D$230,2,FALSE)-VLOOKUP(A123,'All Countries Data - Prev'!$A:$D,2,FALSE)</f>
        <v>3</v>
      </c>
      <c r="C123" s="13">
        <f>IFERROR(VLOOKUP(A123,'All Countries Data - Current'!$A$1:$D$230,3,FALSE)-VLOOKUP(A123,'All Countries Data - Prev'!$A:$D,3,FALSE), "No Data")</f>
        <v>0</v>
      </c>
      <c r="D123" s="15">
        <f>IF(TRIM(VLOOKUP(A123,'All Countries Data - Current'!$A$1:$D$230,4,FALSE))="No data","No Data",VLOOKUP(A123,'All Countries Data - Current'!$A$1:$D$230,4,FALSE)-VLOOKUP(A123,'All Countries Data - Prev'!$A:$D,4,FALSE))</f>
        <v>0</v>
      </c>
    </row>
    <row r="124" spans="1:4" x14ac:dyDescent="0.25">
      <c r="A124" t="s">
        <v>76</v>
      </c>
      <c r="B124" s="13">
        <f>VLOOKUP(A124,'All Countries Data - Current'!$A$1:$D$230,2,FALSE)-VLOOKUP(A124,'All Countries Data - Prev'!$A:$D,2,FALSE)</f>
        <v>0</v>
      </c>
      <c r="C124" s="13">
        <f>IFERROR(VLOOKUP(A124,'All Countries Data - Current'!$A$1:$D$230,3,FALSE)-VLOOKUP(A124,'All Countries Data - Prev'!$A:$D,3,FALSE), "No Data")</f>
        <v>0</v>
      </c>
      <c r="D124" s="15">
        <f>IF(TRIM(VLOOKUP(A124,'All Countries Data - Current'!$A$1:$D$230,4,FALSE))="No data","No Data",VLOOKUP(A124,'All Countries Data - Current'!$A$1:$D$230,4,FALSE)-VLOOKUP(A124,'All Countries Data - Prev'!$A:$D,4,FALSE))</f>
        <v>0</v>
      </c>
    </row>
    <row r="125" spans="1:4" x14ac:dyDescent="0.25">
      <c r="A125" t="s">
        <v>178</v>
      </c>
      <c r="B125" s="13">
        <f>VLOOKUP(A125,'All Countries Data - Current'!$A$1:$D$230,2,FALSE)-VLOOKUP(A125,'All Countries Data - Prev'!$A:$D,2,FALSE)</f>
        <v>0</v>
      </c>
      <c r="C125" s="13">
        <f>IFERROR(VLOOKUP(A125,'All Countries Data - Current'!$A$1:$D$230,3,FALSE)-VLOOKUP(A125,'All Countries Data - Prev'!$A:$D,3,FALSE), "No Data")</f>
        <v>0</v>
      </c>
      <c r="D125" s="15">
        <f>IF(TRIM(VLOOKUP(A125,'All Countries Data - Current'!$A$1:$D$230,4,FALSE))="No data","No Data",VLOOKUP(A125,'All Countries Data - Current'!$A$1:$D$230,4,FALSE)-VLOOKUP(A125,'All Countries Data - Prev'!$A:$D,4,FALSE))</f>
        <v>0</v>
      </c>
    </row>
    <row r="126" spans="1:4" x14ac:dyDescent="0.25">
      <c r="A126" t="s">
        <v>20</v>
      </c>
      <c r="B126" s="13">
        <f>VLOOKUP(A126,'All Countries Data - Current'!$A$1:$D$230,2,FALSE)-VLOOKUP(A126,'All Countries Data - Prev'!$A:$D,2,FALSE)</f>
        <v>24</v>
      </c>
      <c r="C126" s="13">
        <f>IFERROR(VLOOKUP(A126,'All Countries Data - Current'!$A$1:$D$230,3,FALSE)-VLOOKUP(A126,'All Countries Data - Prev'!$A:$D,3,FALSE), "No Data")</f>
        <v>1</v>
      </c>
      <c r="D126" s="15">
        <f>IF(TRIM(VLOOKUP(A126,'All Countries Data - Current'!$A$1:$D$230,4,FALSE))="No data","No Data",VLOOKUP(A126,'All Countries Data - Current'!$A$1:$D$230,4,FALSE)-VLOOKUP(A126,'All Countries Data - Prev'!$A:$D,4,FALSE))</f>
        <v>610</v>
      </c>
    </row>
    <row r="127" spans="1:4" x14ac:dyDescent="0.25">
      <c r="A127" t="s">
        <v>16</v>
      </c>
      <c r="B127" s="13">
        <f>VLOOKUP(A127,'All Countries Data - Current'!$A$1:$D$230,2,FALSE)-VLOOKUP(A127,'All Countries Data - Prev'!$A:$D,2,FALSE)</f>
        <v>1</v>
      </c>
      <c r="C127" s="13">
        <f>IFERROR(VLOOKUP(A127,'All Countries Data - Current'!$A$1:$D$230,3,FALSE)-VLOOKUP(A127,'All Countries Data - Prev'!$A:$D,3,FALSE), "No Data")</f>
        <v>0</v>
      </c>
      <c r="D127" s="15">
        <f>IF(TRIM(VLOOKUP(A127,'All Countries Data - Current'!$A$1:$D$230,4,FALSE))="No data","No Data",VLOOKUP(A127,'All Countries Data - Current'!$A$1:$D$230,4,FALSE)-VLOOKUP(A127,'All Countries Data - Prev'!$A:$D,4,FALSE))</f>
        <v>4</v>
      </c>
    </row>
    <row r="128" spans="1:4" x14ac:dyDescent="0.25">
      <c r="A128" t="s">
        <v>135</v>
      </c>
      <c r="B128" s="13">
        <f>VLOOKUP(A128,'All Countries Data - Current'!$A$1:$D$230,2,FALSE)-VLOOKUP(A128,'All Countries Data - Prev'!$A:$D,2,FALSE)</f>
        <v>2</v>
      </c>
      <c r="C128" s="13">
        <f>IFERROR(VLOOKUP(A128,'All Countries Data - Current'!$A$1:$D$230,3,FALSE)-VLOOKUP(A128,'All Countries Data - Prev'!$A:$D,3,FALSE), "No Data")</f>
        <v>0</v>
      </c>
      <c r="D128" s="15">
        <f>IF(TRIM(VLOOKUP(A128,'All Countries Data - Current'!$A$1:$D$230,4,FALSE))="No data","No Data",VLOOKUP(A128,'All Countries Data - Current'!$A$1:$D$230,4,FALSE)-VLOOKUP(A128,'All Countries Data - Prev'!$A:$D,4,FALSE))</f>
        <v>0</v>
      </c>
    </row>
    <row r="129" spans="1:4" x14ac:dyDescent="0.25">
      <c r="A129" t="s">
        <v>3</v>
      </c>
      <c r="B129" s="13">
        <f>VLOOKUP(A129,'All Countries Data - Current'!$A$1:$D$230,2,FALSE)-VLOOKUP(A129,'All Countries Data - Prev'!$A:$D,2,FALSE)</f>
        <v>1</v>
      </c>
      <c r="C129" s="13">
        <f>IFERROR(VLOOKUP(A129,'All Countries Data - Current'!$A$1:$D$230,3,FALSE)-VLOOKUP(A129,'All Countries Data - Prev'!$A:$D,3,FALSE), "No Data")</f>
        <v>0</v>
      </c>
      <c r="D129" s="15">
        <f>IF(TRIM(VLOOKUP(A129,'All Countries Data - Current'!$A$1:$D$230,4,FALSE))="No data","No Data",VLOOKUP(A129,'All Countries Data - Current'!$A$1:$D$230,4,FALSE)-VLOOKUP(A129,'All Countries Data - Prev'!$A:$D,4,FALSE))</f>
        <v>0</v>
      </c>
    </row>
    <row r="130" spans="1:4" x14ac:dyDescent="0.25">
      <c r="A130" t="s">
        <v>90</v>
      </c>
      <c r="B130" s="13">
        <f>VLOOKUP(A130,'All Countries Data - Current'!$A$1:$D$230,2,FALSE)-VLOOKUP(A130,'All Countries Data - Prev'!$A:$D,2,FALSE)</f>
        <v>0</v>
      </c>
      <c r="C130" s="13">
        <f>IFERROR(VLOOKUP(A130,'All Countries Data - Current'!$A$1:$D$230,3,FALSE)-VLOOKUP(A130,'All Countries Data - Prev'!$A:$D,3,FALSE), "No Data")</f>
        <v>0</v>
      </c>
      <c r="D130" s="15">
        <f>IF(TRIM(VLOOKUP(A130,'All Countries Data - Current'!$A$1:$D$230,4,FALSE))="No data","No Data",VLOOKUP(A130,'All Countries Data - Current'!$A$1:$D$230,4,FALSE)-VLOOKUP(A130,'All Countries Data - Prev'!$A:$D,4,FALSE))</f>
        <v>0</v>
      </c>
    </row>
    <row r="131" spans="1:4" x14ac:dyDescent="0.25">
      <c r="A131" t="s">
        <v>48</v>
      </c>
      <c r="B131" s="13">
        <f>VLOOKUP(A131,'All Countries Data - Current'!$A$1:$D$230,2,FALSE)-VLOOKUP(A131,'All Countries Data - Prev'!$A:$D,2,FALSE)</f>
        <v>1</v>
      </c>
      <c r="C131" s="13">
        <f>IFERROR(VLOOKUP(A131,'All Countries Data - Current'!$A$1:$D$230,3,FALSE)-VLOOKUP(A131,'All Countries Data - Prev'!$A:$D,3,FALSE), "No Data")</f>
        <v>0</v>
      </c>
      <c r="D131" s="15">
        <f>IF(TRIM(VLOOKUP(A131,'All Countries Data - Current'!$A$1:$D$230,4,FALSE))="No data","No Data",VLOOKUP(A131,'All Countries Data - Current'!$A$1:$D$230,4,FALSE)-VLOOKUP(A131,'All Countries Data - Prev'!$A:$D,4,FALSE))</f>
        <v>28</v>
      </c>
    </row>
    <row r="132" spans="1:4" x14ac:dyDescent="0.25">
      <c r="A132" t="s">
        <v>84</v>
      </c>
      <c r="B132" s="13">
        <f>VLOOKUP(A132,'All Countries Data - Current'!$A$1:$D$230,2,FALSE)-VLOOKUP(A132,'All Countries Data - Prev'!$A:$D,2,FALSE)</f>
        <v>14</v>
      </c>
      <c r="C132" s="13">
        <f>IFERROR(VLOOKUP(A132,'All Countries Data - Current'!$A$1:$D$230,3,FALSE)-VLOOKUP(A132,'All Countries Data - Prev'!$A:$D,3,FALSE), "No Data")</f>
        <v>0</v>
      </c>
      <c r="D132" s="15">
        <f>IF(TRIM(VLOOKUP(A132,'All Countries Data - Current'!$A$1:$D$230,4,FALSE))="No data","No Data",VLOOKUP(A132,'All Countries Data - Current'!$A$1:$D$230,4,FALSE)-VLOOKUP(A132,'All Countries Data - Prev'!$A:$D,4,FALSE))</f>
        <v>30</v>
      </c>
    </row>
    <row r="133" spans="1:4" x14ac:dyDescent="0.25">
      <c r="A133" t="s">
        <v>13</v>
      </c>
      <c r="B133" s="13">
        <f>VLOOKUP(A133,'All Countries Data - Current'!$A$1:$D$230,2,FALSE)-VLOOKUP(A133,'All Countries Data - Prev'!$A:$D,2,FALSE)</f>
        <v>5</v>
      </c>
      <c r="C133" s="13">
        <f>IFERROR(VLOOKUP(A133,'All Countries Data - Current'!$A$1:$D$230,3,FALSE)-VLOOKUP(A133,'All Countries Data - Prev'!$A:$D,3,FALSE), "No Data")</f>
        <v>1</v>
      </c>
      <c r="D133" s="15">
        <f>IF(TRIM(VLOOKUP(A133,'All Countries Data - Current'!$A$1:$D$230,4,FALSE))="No data","No Data",VLOOKUP(A133,'All Countries Data - Current'!$A$1:$D$230,4,FALSE)-VLOOKUP(A133,'All Countries Data - Prev'!$A:$D,4,FALSE))</f>
        <v>21</v>
      </c>
    </row>
    <row r="134" spans="1:4" x14ac:dyDescent="0.25">
      <c r="A134" t="s">
        <v>129</v>
      </c>
      <c r="B134" s="13">
        <f>VLOOKUP(A134,'All Countries Data - Current'!$A$1:$D$230,2,FALSE)-VLOOKUP(A134,'All Countries Data - Prev'!$A:$D,2,FALSE)</f>
        <v>10</v>
      </c>
      <c r="C134" s="13">
        <f>IFERROR(VLOOKUP(A134,'All Countries Data - Current'!$A$1:$D$230,3,FALSE)-VLOOKUP(A134,'All Countries Data - Prev'!$A:$D,3,FALSE), "No Data")</f>
        <v>0</v>
      </c>
      <c r="D134" s="15">
        <f>IF(TRIM(VLOOKUP(A134,'All Countries Data - Current'!$A$1:$D$230,4,FALSE))="No data","No Data",VLOOKUP(A134,'All Countries Data - Current'!$A$1:$D$230,4,FALSE)-VLOOKUP(A134,'All Countries Data - Prev'!$A:$D,4,FALSE))</f>
        <v>7</v>
      </c>
    </row>
    <row r="135" spans="1:4" x14ac:dyDescent="0.25">
      <c r="A135" t="s">
        <v>39</v>
      </c>
      <c r="B135" s="13">
        <f>VLOOKUP(A135,'All Countries Data - Current'!$A$1:$D$230,2,FALSE)-VLOOKUP(A135,'All Countries Data - Prev'!$A:$D,2,FALSE)</f>
        <v>45</v>
      </c>
      <c r="C135" s="13">
        <f>IFERROR(VLOOKUP(A135,'All Countries Data - Current'!$A$1:$D$230,3,FALSE)-VLOOKUP(A135,'All Countries Data - Prev'!$A:$D,3,FALSE), "No Data")</f>
        <v>2</v>
      </c>
      <c r="D135" s="15">
        <f>IF(TRIM(VLOOKUP(A135,'All Countries Data - Current'!$A$1:$D$230,4,FALSE))="No data","No Data",VLOOKUP(A135,'All Countries Data - Current'!$A$1:$D$230,4,FALSE)-VLOOKUP(A135,'All Countries Data - Prev'!$A:$D,4,FALSE))</f>
        <v>11</v>
      </c>
    </row>
    <row r="136" spans="1:4" x14ac:dyDescent="0.25">
      <c r="A136" t="s">
        <v>180</v>
      </c>
      <c r="B136" s="13">
        <f>VLOOKUP(A136,'All Countries Data - Current'!$A$1:$D$230,2,FALSE)-VLOOKUP(A136,'All Countries Data - Prev'!$A:$D,2,FALSE)</f>
        <v>14</v>
      </c>
      <c r="C136" s="13">
        <f>IFERROR(VLOOKUP(A136,'All Countries Data - Current'!$A$1:$D$230,3,FALSE)-VLOOKUP(A136,'All Countries Data - Prev'!$A:$D,3,FALSE), "No Data")</f>
        <v>1</v>
      </c>
      <c r="D136" s="15">
        <f>IF(TRIM(VLOOKUP(A136,'All Countries Data - Current'!$A$1:$D$230,4,FALSE))="No data","No Data",VLOOKUP(A136,'All Countries Data - Current'!$A$1:$D$230,4,FALSE)-VLOOKUP(A136,'All Countries Data - Prev'!$A:$D,4,FALSE))</f>
        <v>2</v>
      </c>
    </row>
    <row r="137" spans="1:4" x14ac:dyDescent="0.25">
      <c r="A137" t="s">
        <v>179</v>
      </c>
      <c r="B137" s="13">
        <f>VLOOKUP(A137,'All Countries Data - Current'!$A$1:$D$230,2,FALSE)-VLOOKUP(A137,'All Countries Data - Prev'!$A:$D,2,FALSE)</f>
        <v>0</v>
      </c>
      <c r="C137" s="13">
        <f>IFERROR(VLOOKUP(A137,'All Countries Data - Current'!$A$1:$D$230,3,FALSE)-VLOOKUP(A137,'All Countries Data - Prev'!$A:$D,3,FALSE), "No Data")</f>
        <v>0</v>
      </c>
      <c r="D137" s="15">
        <f>IF(TRIM(VLOOKUP(A137,'All Countries Data - Current'!$A$1:$D$230,4,FALSE))="No data","No Data",VLOOKUP(A137,'All Countries Data - Current'!$A$1:$D$230,4,FALSE)-VLOOKUP(A137,'All Countries Data - Prev'!$A:$D,4,FALSE))</f>
        <v>0</v>
      </c>
    </row>
    <row r="138" spans="1:4" x14ac:dyDescent="0.25">
      <c r="A138" t="s">
        <v>100</v>
      </c>
      <c r="B138" s="13">
        <f>VLOOKUP(A138,'All Countries Data - Current'!$A$1:$D$230,2,FALSE)-VLOOKUP(A138,'All Countries Data - Prev'!$A:$D,2,FALSE)</f>
        <v>1</v>
      </c>
      <c r="C138" s="13">
        <f>IFERROR(VLOOKUP(A138,'All Countries Data - Current'!$A$1:$D$230,3,FALSE)-VLOOKUP(A138,'All Countries Data - Prev'!$A:$D,3,FALSE), "No Data")</f>
        <v>0</v>
      </c>
      <c r="D138" s="15">
        <f>IF(TRIM(VLOOKUP(A138,'All Countries Data - Current'!$A$1:$D$230,4,FALSE))="No data","No Data",VLOOKUP(A138,'All Countries Data - Current'!$A$1:$D$230,4,FALSE)-VLOOKUP(A138,'All Countries Data - Prev'!$A:$D,4,FALSE))</f>
        <v>5</v>
      </c>
    </row>
    <row r="139" spans="1:4" x14ac:dyDescent="0.25">
      <c r="A139" t="s">
        <v>6</v>
      </c>
      <c r="B139" s="13">
        <f>VLOOKUP(A139,'All Countries Data - Current'!$A$1:$D$230,2,FALSE)-VLOOKUP(A139,'All Countries Data - Prev'!$A:$D,2,FALSE)</f>
        <v>11</v>
      </c>
      <c r="C139" s="13">
        <f>IFERROR(VLOOKUP(A139,'All Countries Data - Current'!$A$1:$D$230,3,FALSE)-VLOOKUP(A139,'All Countries Data - Prev'!$A:$D,3,FALSE), "No Data")</f>
        <v>0</v>
      </c>
      <c r="D139" s="15">
        <f>IF(TRIM(VLOOKUP(A139,'All Countries Data - Current'!$A$1:$D$230,4,FALSE))="No data","No Data",VLOOKUP(A139,'All Countries Data - Current'!$A$1:$D$230,4,FALSE)-VLOOKUP(A139,'All Countries Data - Prev'!$A:$D,4,FALSE))</f>
        <v>15</v>
      </c>
    </row>
    <row r="140" spans="1:4" x14ac:dyDescent="0.25">
      <c r="A140" t="s">
        <v>111</v>
      </c>
      <c r="B140" s="13">
        <f>VLOOKUP(A140,'All Countries Data - Current'!$A$1:$D$230,2,FALSE)-VLOOKUP(A140,'All Countries Data - Prev'!$A:$D,2,FALSE)</f>
        <v>2</v>
      </c>
      <c r="C140" s="13">
        <f>IFERROR(VLOOKUP(A140,'All Countries Data - Current'!$A$1:$D$230,3,FALSE)-VLOOKUP(A140,'All Countries Data - Prev'!$A:$D,3,FALSE), "No Data")</f>
        <v>0</v>
      </c>
      <c r="D140" s="15">
        <f>IF(TRIM(VLOOKUP(A140,'All Countries Data - Current'!$A$1:$D$230,4,FALSE))="No data","No Data",VLOOKUP(A140,'All Countries Data - Current'!$A$1:$D$230,4,FALSE)-VLOOKUP(A140,'All Countries Data - Prev'!$A:$D,4,FALSE))</f>
        <v>1</v>
      </c>
    </row>
    <row r="141" spans="1:4" x14ac:dyDescent="0.25">
      <c r="A141" t="s">
        <v>59</v>
      </c>
      <c r="B141" s="13">
        <f>VLOOKUP(A141,'All Countries Data - Current'!$A$1:$D$230,2,FALSE)-VLOOKUP(A141,'All Countries Data - Prev'!$A:$D,2,FALSE)</f>
        <v>1</v>
      </c>
      <c r="C141" s="13">
        <f>IFERROR(VLOOKUP(A141,'All Countries Data - Current'!$A$1:$D$230,3,FALSE)-VLOOKUP(A141,'All Countries Data - Prev'!$A:$D,3,FALSE), "No Data")</f>
        <v>0</v>
      </c>
      <c r="D141" s="15">
        <f>IF(TRIM(VLOOKUP(A141,'All Countries Data - Current'!$A$1:$D$230,4,FALSE))="No data","No Data",VLOOKUP(A141,'All Countries Data - Current'!$A$1:$D$230,4,FALSE)-VLOOKUP(A141,'All Countries Data - Prev'!$A:$D,4,FALSE))</f>
        <v>0</v>
      </c>
    </row>
    <row r="142" spans="1:4" x14ac:dyDescent="0.25">
      <c r="A142" t="s">
        <v>181</v>
      </c>
      <c r="B142" s="13">
        <f>VLOOKUP(A142,'All Countries Data - Current'!$A$1:$D$230,2,FALSE)-VLOOKUP(A142,'All Countries Data - Prev'!$A:$D,2,FALSE)</f>
        <v>18</v>
      </c>
      <c r="C142" s="13">
        <f>IFERROR(VLOOKUP(A142,'All Countries Data - Current'!$A$1:$D$230,3,FALSE)-VLOOKUP(A142,'All Countries Data - Prev'!$A:$D,3,FALSE), "No Data")</f>
        <v>0</v>
      </c>
      <c r="D142" s="15">
        <f>IF(TRIM(VLOOKUP(A142,'All Countries Data - Current'!$A$1:$D$230,4,FALSE))="No data","No Data",VLOOKUP(A142,'All Countries Data - Current'!$A$1:$D$230,4,FALSE)-VLOOKUP(A142,'All Countries Data - Prev'!$A:$D,4,FALSE))</f>
        <v>4</v>
      </c>
    </row>
    <row r="143" spans="1:4" x14ac:dyDescent="0.25">
      <c r="A143" t="s">
        <v>77</v>
      </c>
      <c r="B143" s="13">
        <f>VLOOKUP(A143,'All Countries Data - Current'!$A$1:$D$230,2,FALSE)-VLOOKUP(A143,'All Countries Data - Prev'!$A:$D,2,FALSE)</f>
        <v>28</v>
      </c>
      <c r="C143" s="13">
        <f>IFERROR(VLOOKUP(A143,'All Countries Data - Current'!$A$1:$D$230,3,FALSE)-VLOOKUP(A143,'All Countries Data - Prev'!$A:$D,3,FALSE), "No Data")</f>
        <v>15</v>
      </c>
      <c r="D143" s="15">
        <f>IF(TRIM(VLOOKUP(A143,'All Countries Data - Current'!$A$1:$D$230,4,FALSE))="No data","No Data",VLOOKUP(A143,'All Countries Data - Current'!$A$1:$D$230,4,FALSE)-VLOOKUP(A143,'All Countries Data - Prev'!$A:$D,4,FALSE))</f>
        <v>0</v>
      </c>
    </row>
    <row r="144" spans="1:4" x14ac:dyDescent="0.25">
      <c r="A144" t="s">
        <v>182</v>
      </c>
      <c r="B144" s="13">
        <f>VLOOKUP(A144,'All Countries Data - Current'!$A$1:$D$230,2,FALSE)-VLOOKUP(A144,'All Countries Data - Prev'!$A:$D,2,FALSE)</f>
        <v>1</v>
      </c>
      <c r="C144" s="13">
        <f>IFERROR(VLOOKUP(A144,'All Countries Data - Current'!$A$1:$D$230,3,FALSE)-VLOOKUP(A144,'All Countries Data - Prev'!$A:$D,3,FALSE), "No Data")</f>
        <v>0</v>
      </c>
      <c r="D144" s="15">
        <f>IF(TRIM(VLOOKUP(A144,'All Countries Data - Current'!$A$1:$D$230,4,FALSE))="No data","No Data",VLOOKUP(A144,'All Countries Data - Current'!$A$1:$D$230,4,FALSE)-VLOOKUP(A144,'All Countries Data - Prev'!$A:$D,4,FALSE))</f>
        <v>8</v>
      </c>
    </row>
    <row r="145" spans="1:4" x14ac:dyDescent="0.25">
      <c r="A145" t="s">
        <v>183</v>
      </c>
      <c r="B145" s="13">
        <f>VLOOKUP(A145,'All Countries Data - Current'!$A$1:$D$230,2,FALSE)-VLOOKUP(A145,'All Countries Data - Prev'!$A:$D,2,FALSE)</f>
        <v>0</v>
      </c>
      <c r="C145" s="13">
        <f>IFERROR(VLOOKUP(A145,'All Countries Data - Current'!$A$1:$D$230,3,FALSE)-VLOOKUP(A145,'All Countries Data - Prev'!$A:$D,3,FALSE), "No Data")</f>
        <v>0</v>
      </c>
      <c r="D145" s="15">
        <f>IF(TRIM(VLOOKUP(A145,'All Countries Data - Current'!$A$1:$D$230,4,FALSE))="No data","No Data",VLOOKUP(A145,'All Countries Data - Current'!$A$1:$D$230,4,FALSE)-VLOOKUP(A145,'All Countries Data - Prev'!$A:$D,4,FALSE))</f>
        <v>0</v>
      </c>
    </row>
    <row r="146" spans="1:4" x14ac:dyDescent="0.25">
      <c r="A146" t="s">
        <v>14</v>
      </c>
      <c r="B146" s="13">
        <f>VLOOKUP(A146,'All Countries Data - Current'!$A$1:$D$230,2,FALSE)-VLOOKUP(A146,'All Countries Data - Prev'!$A:$D,2,FALSE)</f>
        <v>4</v>
      </c>
      <c r="C146" s="13">
        <f>IFERROR(VLOOKUP(A146,'All Countries Data - Current'!$A$1:$D$230,3,FALSE)-VLOOKUP(A146,'All Countries Data - Prev'!$A:$D,3,FALSE), "No Data")</f>
        <v>0</v>
      </c>
      <c r="D146" s="15">
        <f>IF(TRIM(VLOOKUP(A146,'All Countries Data - Current'!$A$1:$D$230,4,FALSE))="No data","No Data",VLOOKUP(A146,'All Countries Data - Current'!$A$1:$D$230,4,FALSE)-VLOOKUP(A146,'All Countries Data - Prev'!$A:$D,4,FALSE))</f>
        <v>9</v>
      </c>
    </row>
    <row r="147" spans="1:4" x14ac:dyDescent="0.25">
      <c r="A147" t="s">
        <v>184</v>
      </c>
      <c r="B147" s="13">
        <f>VLOOKUP(A147,'All Countries Data - Current'!$A$1:$D$230,2,FALSE)-VLOOKUP(A147,'All Countries Data - Prev'!$A:$D,2,FALSE)</f>
        <v>8</v>
      </c>
      <c r="C147" s="13">
        <f>IFERROR(VLOOKUP(A147,'All Countries Data - Current'!$A$1:$D$230,3,FALSE)-VLOOKUP(A147,'All Countries Data - Prev'!$A:$D,3,FALSE), "No Data")</f>
        <v>0</v>
      </c>
      <c r="D147" s="15">
        <f>IF(TRIM(VLOOKUP(A147,'All Countries Data - Current'!$A$1:$D$230,4,FALSE))="No data","No Data",VLOOKUP(A147,'All Countries Data - Current'!$A$1:$D$230,4,FALSE)-VLOOKUP(A147,'All Countries Data - Prev'!$A:$D,4,FALSE))</f>
        <v>0</v>
      </c>
    </row>
    <row r="148" spans="1:4" x14ac:dyDescent="0.25">
      <c r="A148" t="s">
        <v>18</v>
      </c>
      <c r="B148" s="13">
        <f>VLOOKUP(A148,'All Countries Data - Current'!$A$1:$D$230,2,FALSE)-VLOOKUP(A148,'All Countries Data - Prev'!$A:$D,2,FALSE)</f>
        <v>12</v>
      </c>
      <c r="C148" s="13">
        <f>IFERROR(VLOOKUP(A148,'All Countries Data - Current'!$A$1:$D$230,3,FALSE)-VLOOKUP(A148,'All Countries Data - Prev'!$A:$D,3,FALSE), "No Data")</f>
        <v>0</v>
      </c>
      <c r="D148" s="15">
        <f>IF(TRIM(VLOOKUP(A148,'All Countries Data - Current'!$A$1:$D$230,4,FALSE))="No data","No Data",VLOOKUP(A148,'All Countries Data - Current'!$A$1:$D$230,4,FALSE)-VLOOKUP(A148,'All Countries Data - Prev'!$A:$D,4,FALSE))</f>
        <v>3</v>
      </c>
    </row>
    <row r="149" spans="1:4" x14ac:dyDescent="0.25">
      <c r="A149" t="s">
        <v>26</v>
      </c>
      <c r="B149" s="13">
        <f>VLOOKUP(A149,'All Countries Data - Current'!$A$1:$D$230,2,FALSE)-VLOOKUP(A149,'All Countries Data - Prev'!$A:$D,2,FALSE)</f>
        <v>12</v>
      </c>
      <c r="C149" s="13">
        <f>IFERROR(VLOOKUP(A149,'All Countries Data - Current'!$A$1:$D$230,3,FALSE)-VLOOKUP(A149,'All Countries Data - Prev'!$A:$D,3,FALSE), "No Data")</f>
        <v>0</v>
      </c>
      <c r="D149" s="15">
        <f>IF(TRIM(VLOOKUP(A149,'All Countries Data - Current'!$A$1:$D$230,4,FALSE))="No data","No Data",VLOOKUP(A149,'All Countries Data - Current'!$A$1:$D$230,4,FALSE)-VLOOKUP(A149,'All Countries Data - Prev'!$A:$D,4,FALSE))</f>
        <v>0</v>
      </c>
    </row>
    <row r="150" spans="1:4" x14ac:dyDescent="0.25">
      <c r="A150" t="s">
        <v>23</v>
      </c>
      <c r="B150" s="13">
        <f>VLOOKUP(A150,'All Countries Data - Current'!$A$1:$D$230,2,FALSE)-VLOOKUP(A150,'All Countries Data - Prev'!$A:$D,2,FALSE)</f>
        <v>20</v>
      </c>
      <c r="C150" s="13">
        <f>IFERROR(VLOOKUP(A150,'All Countries Data - Current'!$A$1:$D$230,3,FALSE)-VLOOKUP(A150,'All Countries Data - Prev'!$A:$D,3,FALSE), "No Data")</f>
        <v>0</v>
      </c>
      <c r="D150" s="15">
        <f>IF(TRIM(VLOOKUP(A150,'All Countries Data - Current'!$A$1:$D$230,4,FALSE))="No data","No Data",VLOOKUP(A150,'All Countries Data - Current'!$A$1:$D$230,4,FALSE)-VLOOKUP(A150,'All Countries Data - Prev'!$A:$D,4,FALSE))</f>
        <v>5</v>
      </c>
    </row>
    <row r="151" spans="1:4" x14ac:dyDescent="0.25">
      <c r="A151" t="s">
        <v>185</v>
      </c>
      <c r="B151" s="13">
        <f>VLOOKUP(A151,'All Countries Data - Current'!$A$1:$D$230,2,FALSE)-VLOOKUP(A151,'All Countries Data - Prev'!$A:$D,2,FALSE)</f>
        <v>0</v>
      </c>
      <c r="C151" s="13">
        <f>IFERROR(VLOOKUP(A151,'All Countries Data - Current'!$A$1:$D$230,3,FALSE)-VLOOKUP(A151,'All Countries Data - Prev'!$A:$D,3,FALSE), "No Data")</f>
        <v>0</v>
      </c>
      <c r="D151" s="15">
        <f>IF(TRIM(VLOOKUP(A151,'All Countries Data - Current'!$A$1:$D$230,4,FALSE))="No data","No Data",VLOOKUP(A151,'All Countries Data - Current'!$A$1:$D$230,4,FALSE)-VLOOKUP(A151,'All Countries Data - Prev'!$A:$D,4,FALSE))</f>
        <v>0</v>
      </c>
    </row>
    <row r="152" spans="1:4" x14ac:dyDescent="0.25">
      <c r="A152" t="s">
        <v>187</v>
      </c>
      <c r="B152" s="13">
        <f>VLOOKUP(A152,'All Countries Data - Current'!$A$1:$D$230,2,FALSE)-VLOOKUP(A152,'All Countries Data - Prev'!$A:$D,2,FALSE)</f>
        <v>0</v>
      </c>
      <c r="C152" s="13">
        <f>IFERROR(VLOOKUP(A152,'All Countries Data - Current'!$A$1:$D$230,3,FALSE)-VLOOKUP(A152,'All Countries Data - Prev'!$A:$D,3,FALSE), "No Data")</f>
        <v>0</v>
      </c>
      <c r="D152" s="15">
        <f>IF(TRIM(VLOOKUP(A152,'All Countries Data - Current'!$A$1:$D$230,4,FALSE))="No data","No Data",VLOOKUP(A152,'All Countries Data - Current'!$A$1:$D$230,4,FALSE)-VLOOKUP(A152,'All Countries Data - Prev'!$A:$D,4,FALSE))</f>
        <v>0</v>
      </c>
    </row>
    <row r="153" spans="1:4" x14ac:dyDescent="0.25">
      <c r="A153" t="s">
        <v>186</v>
      </c>
      <c r="B153" s="13">
        <f>VLOOKUP(A153,'All Countries Data - Current'!$A$1:$D$230,2,FALSE)-VLOOKUP(A153,'All Countries Data - Prev'!$A:$D,2,FALSE)</f>
        <v>0</v>
      </c>
      <c r="C153" s="13">
        <f>IFERROR(VLOOKUP(A153,'All Countries Data - Current'!$A$1:$D$230,3,FALSE)-VLOOKUP(A153,'All Countries Data - Prev'!$A:$D,3,FALSE), "No Data")</f>
        <v>0</v>
      </c>
      <c r="D153" s="15">
        <f>IF(TRIM(VLOOKUP(A153,'All Countries Data - Current'!$A$1:$D$230,4,FALSE))="No data","No Data",VLOOKUP(A153,'All Countries Data - Current'!$A$1:$D$230,4,FALSE)-VLOOKUP(A153,'All Countries Data - Prev'!$A:$D,4,FALSE))</f>
        <v>0</v>
      </c>
    </row>
    <row r="154" spans="1:4" x14ac:dyDescent="0.25">
      <c r="A154" t="s">
        <v>30</v>
      </c>
      <c r="B154" s="13">
        <f>VLOOKUP(A154,'All Countries Data - Current'!$A$1:$D$230,2,FALSE)-VLOOKUP(A154,'All Countries Data - Prev'!$A:$D,2,FALSE)</f>
        <v>13</v>
      </c>
      <c r="C154" s="13">
        <f>IFERROR(VLOOKUP(A154,'All Countries Data - Current'!$A$1:$D$230,3,FALSE)-VLOOKUP(A154,'All Countries Data - Prev'!$A:$D,3,FALSE), "No Data")</f>
        <v>1</v>
      </c>
      <c r="D154" s="15">
        <f>IF(TRIM(VLOOKUP(A154,'All Countries Data - Current'!$A$1:$D$230,4,FALSE))="No data","No Data",VLOOKUP(A154,'All Countries Data - Current'!$A$1:$D$230,4,FALSE)-VLOOKUP(A154,'All Countries Data - Prev'!$A:$D,4,FALSE))</f>
        <v>4</v>
      </c>
    </row>
    <row r="155" spans="1:4" x14ac:dyDescent="0.25">
      <c r="A155" t="s">
        <v>11</v>
      </c>
      <c r="B155" s="13">
        <f>VLOOKUP(A155,'All Countries Data - Current'!$A$1:$D$230,2,FALSE)-VLOOKUP(A155,'All Countries Data - Prev'!$A:$D,2,FALSE)</f>
        <v>31</v>
      </c>
      <c r="C155" s="13">
        <f>IFERROR(VLOOKUP(A155,'All Countries Data - Current'!$A$1:$D$230,3,FALSE)-VLOOKUP(A155,'All Countries Data - Prev'!$A:$D,3,FALSE), "No Data")</f>
        <v>0</v>
      </c>
      <c r="D155" s="15">
        <f>IF(TRIM(VLOOKUP(A155,'All Countries Data - Current'!$A$1:$D$230,4,FALSE))="No data","No Data",VLOOKUP(A155,'All Countries Data - Current'!$A$1:$D$230,4,FALSE)-VLOOKUP(A155,'All Countries Data - Prev'!$A:$D,4,FALSE))</f>
        <v>3</v>
      </c>
    </row>
    <row r="156" spans="1:4" x14ac:dyDescent="0.25">
      <c r="A156" t="s">
        <v>87</v>
      </c>
      <c r="B156" s="13">
        <f>VLOOKUP(A156,'All Countries Data - Current'!$A$1:$D$230,2,FALSE)-VLOOKUP(A156,'All Countries Data - Prev'!$A:$D,2,FALSE)</f>
        <v>89</v>
      </c>
      <c r="C156" s="13">
        <f>IFERROR(VLOOKUP(A156,'All Countries Data - Current'!$A$1:$D$230,3,FALSE)-VLOOKUP(A156,'All Countries Data - Prev'!$A:$D,3,FALSE), "No Data")</f>
        <v>0</v>
      </c>
      <c r="D156" s="15">
        <f>IF(TRIM(VLOOKUP(A156,'All Countries Data - Current'!$A$1:$D$230,4,FALSE))="No data","No Data",VLOOKUP(A156,'All Countries Data - Current'!$A$1:$D$230,4,FALSE)-VLOOKUP(A156,'All Countries Data - Prev'!$A:$D,4,FALSE))</f>
        <v>1</v>
      </c>
    </row>
    <row r="157" spans="1:4" x14ac:dyDescent="0.25">
      <c r="A157" t="s">
        <v>25</v>
      </c>
      <c r="B157" s="13">
        <f>VLOOKUP(A157,'All Countries Data - Current'!$A$1:$D$230,2,FALSE)-VLOOKUP(A157,'All Countries Data - Prev'!$A:$D,2,FALSE)</f>
        <v>0</v>
      </c>
      <c r="C157" s="13">
        <f>IFERROR(VLOOKUP(A157,'All Countries Data - Current'!$A$1:$D$230,3,FALSE)-VLOOKUP(A157,'All Countries Data - Prev'!$A:$D,3,FALSE), "No Data")</f>
        <v>0</v>
      </c>
      <c r="D157" s="15">
        <f>IF(TRIM(VLOOKUP(A157,'All Countries Data - Current'!$A$1:$D$230,4,FALSE))="No data","No Data",VLOOKUP(A157,'All Countries Data - Current'!$A$1:$D$230,4,FALSE)-VLOOKUP(A157,'All Countries Data - Prev'!$A:$D,4,FALSE))</f>
        <v>0</v>
      </c>
    </row>
    <row r="158" spans="1:4" x14ac:dyDescent="0.25">
      <c r="A158" t="s">
        <v>188</v>
      </c>
      <c r="B158" s="13">
        <f>VLOOKUP(A158,'All Countries Data - Current'!$A$1:$D$230,2,FALSE)-VLOOKUP(A158,'All Countries Data - Prev'!$A:$D,2,FALSE)</f>
        <v>0</v>
      </c>
      <c r="C158" s="13">
        <f>IFERROR(VLOOKUP(A158,'All Countries Data - Current'!$A$1:$D$230,3,FALSE)-VLOOKUP(A158,'All Countries Data - Prev'!$A:$D,3,FALSE), "No Data")</f>
        <v>0</v>
      </c>
      <c r="D158" s="15">
        <f>IF(TRIM(VLOOKUP(A158,'All Countries Data - Current'!$A$1:$D$230,4,FALSE))="No data","No Data",VLOOKUP(A158,'All Countries Data - Current'!$A$1:$D$230,4,FALSE)-VLOOKUP(A158,'All Countries Data - Prev'!$A:$D,4,FALSE))</f>
        <v>0</v>
      </c>
    </row>
    <row r="159" spans="1:4" x14ac:dyDescent="0.25">
      <c r="A159" t="s">
        <v>189</v>
      </c>
      <c r="B159" s="13">
        <f>VLOOKUP(A159,'All Countries Data - Current'!$A$1:$D$230,2,FALSE)-VLOOKUP(A159,'All Countries Data - Prev'!$A:$D,2,FALSE)</f>
        <v>0</v>
      </c>
      <c r="C159" s="13">
        <f>IFERROR(VLOOKUP(A159,'All Countries Data - Current'!$A$1:$D$230,3,FALSE)-VLOOKUP(A159,'All Countries Data - Prev'!$A:$D,3,FALSE), "No Data")</f>
        <v>0</v>
      </c>
      <c r="D159" s="15">
        <f>IF(TRIM(VLOOKUP(A159,'All Countries Data - Current'!$A$1:$D$230,4,FALSE))="No data","No Data",VLOOKUP(A159,'All Countries Data - Current'!$A$1:$D$230,4,FALSE)-VLOOKUP(A159,'All Countries Data - Prev'!$A:$D,4,FALSE))</f>
        <v>0</v>
      </c>
    </row>
    <row r="160" spans="1:4" x14ac:dyDescent="0.25">
      <c r="A160" t="s">
        <v>112</v>
      </c>
      <c r="B160" s="13">
        <f>VLOOKUP(A160,'All Countries Data - Current'!$A$1:$D$230,2,FALSE)-VLOOKUP(A160,'All Countries Data - Prev'!$A:$D,2,FALSE)</f>
        <v>0</v>
      </c>
      <c r="C160" s="13">
        <f>IFERROR(VLOOKUP(A160,'All Countries Data - Current'!$A$1:$D$230,3,FALSE)-VLOOKUP(A160,'All Countries Data - Prev'!$A:$D,3,FALSE), "No Data")</f>
        <v>0</v>
      </c>
      <c r="D160" s="15">
        <f>IF(TRIM(VLOOKUP(A160,'All Countries Data - Current'!$A$1:$D$230,4,FALSE))="No data","No Data",VLOOKUP(A160,'All Countries Data - Current'!$A$1:$D$230,4,FALSE)-VLOOKUP(A160,'All Countries Data - Prev'!$A:$D,4,FALSE))</f>
        <v>0</v>
      </c>
    </row>
    <row r="161" spans="1:4" x14ac:dyDescent="0.25">
      <c r="A161" t="s">
        <v>9</v>
      </c>
      <c r="B161" s="13">
        <f>VLOOKUP(A161,'All Countries Data - Current'!$A$1:$D$230,2,FALSE)-VLOOKUP(A161,'All Countries Data - Prev'!$A:$D,2,FALSE)</f>
        <v>27</v>
      </c>
      <c r="C161" s="13">
        <f>IFERROR(VLOOKUP(A161,'All Countries Data - Current'!$A$1:$D$230,3,FALSE)-VLOOKUP(A161,'All Countries Data - Prev'!$A:$D,3,FALSE), "No Data")</f>
        <v>0</v>
      </c>
      <c r="D161" s="15">
        <f>IF(TRIM(VLOOKUP(A161,'All Countries Data - Current'!$A$1:$D$230,4,FALSE))="No data","No Data",VLOOKUP(A161,'All Countries Data - Current'!$A$1:$D$230,4,FALSE)-VLOOKUP(A161,'All Countries Data - Prev'!$A:$D,4,FALSE))</f>
        <v>0</v>
      </c>
    </row>
    <row r="162" spans="1:4" x14ac:dyDescent="0.25">
      <c r="A162" t="s">
        <v>190</v>
      </c>
      <c r="B162" s="13">
        <f>VLOOKUP(A162,'All Countries Data - Current'!$A$1:$D$230,2,FALSE)-VLOOKUP(A162,'All Countries Data - Prev'!$A:$D,2,FALSE)</f>
        <v>0</v>
      </c>
      <c r="C162" s="13">
        <f>IFERROR(VLOOKUP(A162,'All Countries Data - Current'!$A$1:$D$230,3,FALSE)-VLOOKUP(A162,'All Countries Data - Prev'!$A:$D,3,FALSE), "No Data")</f>
        <v>0</v>
      </c>
      <c r="D162" s="15">
        <f>IF(TRIM(VLOOKUP(A162,'All Countries Data - Current'!$A$1:$D$230,4,FALSE))="No data","No Data",VLOOKUP(A162,'All Countries Data - Current'!$A$1:$D$230,4,FALSE)-VLOOKUP(A162,'All Countries Data - Prev'!$A:$D,4,FALSE))</f>
        <v>0</v>
      </c>
    </row>
    <row r="163" spans="1:4" x14ac:dyDescent="0.25">
      <c r="A163" t="s">
        <v>2</v>
      </c>
      <c r="B163" s="13">
        <f>VLOOKUP(A163,'All Countries Data - Current'!$A$1:$D$230,2,FALSE)-VLOOKUP(A163,'All Countries Data - Prev'!$A:$D,2,FALSE)</f>
        <v>0</v>
      </c>
      <c r="C163" s="13">
        <f>IFERROR(VLOOKUP(A163,'All Countries Data - Current'!$A$1:$D$230,3,FALSE)-VLOOKUP(A163,'All Countries Data - Prev'!$A:$D,3,FALSE), "No Data")</f>
        <v>0</v>
      </c>
      <c r="D163" s="15">
        <f>IF(TRIM(VLOOKUP(A163,'All Countries Data - Current'!$A$1:$D$230,4,FALSE))="No data","No Data",VLOOKUP(A163,'All Countries Data - Current'!$A$1:$D$230,4,FALSE)-VLOOKUP(A163,'All Countries Data - Prev'!$A:$D,4,FALSE))</f>
        <v>0</v>
      </c>
    </row>
    <row r="164" spans="1:4" x14ac:dyDescent="0.25">
      <c r="A164" t="s">
        <v>191</v>
      </c>
      <c r="B164" s="13">
        <f>VLOOKUP(A164,'All Countries Data - Current'!$A$1:$D$230,2,FALSE)-VLOOKUP(A164,'All Countries Data - Prev'!$A:$D,2,FALSE)</f>
        <v>0</v>
      </c>
      <c r="C164" s="13">
        <f>IFERROR(VLOOKUP(A164,'All Countries Data - Current'!$A$1:$D$230,3,FALSE)-VLOOKUP(A164,'All Countries Data - Prev'!$A:$D,3,FALSE), "No Data")</f>
        <v>0</v>
      </c>
      <c r="D164" s="15">
        <f>IF(TRIM(VLOOKUP(A164,'All Countries Data - Current'!$A$1:$D$230,4,FALSE))="No data","No Data",VLOOKUP(A164,'All Countries Data - Current'!$A$1:$D$230,4,FALSE)-VLOOKUP(A164,'All Countries Data - Prev'!$A:$D,4,FALSE))</f>
        <v>0</v>
      </c>
    </row>
    <row r="165" spans="1:4" x14ac:dyDescent="0.25">
      <c r="A165" t="s">
        <v>142</v>
      </c>
      <c r="B165" s="13">
        <f>VLOOKUP(A165,'All Countries Data - Current'!$A$1:$D$230,2,FALSE)-VLOOKUP(A165,'All Countries Data - Prev'!$A:$D,2,FALSE)</f>
        <v>2</v>
      </c>
      <c r="C165" s="13">
        <f>IFERROR(VLOOKUP(A165,'All Countries Data - Current'!$A$1:$D$230,3,FALSE)-VLOOKUP(A165,'All Countries Data - Prev'!$A:$D,3,FALSE), "No Data")</f>
        <v>0</v>
      </c>
      <c r="D165" s="15">
        <f>IF(TRIM(VLOOKUP(A165,'All Countries Data - Current'!$A$1:$D$230,4,FALSE))="No data","No Data",VLOOKUP(A165,'All Countries Data - Current'!$A$1:$D$230,4,FALSE)-VLOOKUP(A165,'All Countries Data - Prev'!$A:$D,4,FALSE))</f>
        <v>0</v>
      </c>
    </row>
    <row r="166" spans="1:4" x14ac:dyDescent="0.25">
      <c r="A166" t="s">
        <v>151</v>
      </c>
      <c r="B166" s="13">
        <f>VLOOKUP(A166,'All Countries Data - Current'!$A$1:$D$230,2,FALSE)-VLOOKUP(A166,'All Countries Data - Prev'!$A:$D,2,FALSE)</f>
        <v>0</v>
      </c>
      <c r="C166" s="13">
        <f>IFERROR(VLOOKUP(A166,'All Countries Data - Current'!$A$1:$D$230,3,FALSE)-VLOOKUP(A166,'All Countries Data - Prev'!$A:$D,3,FALSE), "No Data")</f>
        <v>0</v>
      </c>
      <c r="D166" s="15">
        <f>IF(TRIM(VLOOKUP(A166,'All Countries Data - Current'!$A$1:$D$230,4,FALSE))="No data","No Data",VLOOKUP(A166,'All Countries Data - Current'!$A$1:$D$230,4,FALSE)-VLOOKUP(A166,'All Countries Data - Prev'!$A:$D,4,FALSE))</f>
        <v>0</v>
      </c>
    </row>
    <row r="167" spans="1:4" x14ac:dyDescent="0.25">
      <c r="A167" t="s">
        <v>192</v>
      </c>
      <c r="B167" s="13">
        <f>VLOOKUP(A167,'All Countries Data - Current'!$A$1:$D$230,2,FALSE)-VLOOKUP(A167,'All Countries Data - Prev'!$A:$D,2,FALSE)</f>
        <v>0</v>
      </c>
      <c r="C167" s="13">
        <f>IFERROR(VLOOKUP(A167,'All Countries Data - Current'!$A$1:$D$230,3,FALSE)-VLOOKUP(A167,'All Countries Data - Prev'!$A:$D,3,FALSE), "No Data")</f>
        <v>0</v>
      </c>
      <c r="D167" s="15">
        <f>IF(TRIM(VLOOKUP(A167,'All Countries Data - Current'!$A$1:$D$230,4,FALSE))="No data","No Data",VLOOKUP(A167,'All Countries Data - Current'!$A$1:$D$230,4,FALSE)-VLOOKUP(A167,'All Countries Data - Prev'!$A:$D,4,FALSE))</f>
        <v>0</v>
      </c>
    </row>
    <row r="168" spans="1:4" x14ac:dyDescent="0.25">
      <c r="A168" t="s">
        <v>193</v>
      </c>
      <c r="B168" s="13">
        <f>VLOOKUP(A168,'All Countries Data - Current'!$A$1:$D$230,2,FALSE)-VLOOKUP(A168,'All Countries Data - Prev'!$A:$D,2,FALSE)</f>
        <v>1</v>
      </c>
      <c r="C168" s="13">
        <f>IFERROR(VLOOKUP(A168,'All Countries Data - Current'!$A$1:$D$230,3,FALSE)-VLOOKUP(A168,'All Countries Data - Prev'!$A:$D,3,FALSE), "No Data")</f>
        <v>0</v>
      </c>
      <c r="D168" s="15">
        <f>IF(TRIM(VLOOKUP(A168,'All Countries Data - Current'!$A$1:$D$230,4,FALSE))="No data","No Data",VLOOKUP(A168,'All Countries Data - Current'!$A$1:$D$230,4,FALSE)-VLOOKUP(A168,'All Countries Data - Prev'!$A:$D,4,FALSE))</f>
        <v>1</v>
      </c>
    </row>
    <row r="169" spans="1:4" x14ac:dyDescent="0.25">
      <c r="A169" t="s">
        <v>194</v>
      </c>
      <c r="B169" s="13">
        <f>VLOOKUP(A169,'All Countries Data - Current'!$A$1:$D$230,2,FALSE)-VLOOKUP(A169,'All Countries Data - Prev'!$A:$D,2,FALSE)</f>
        <v>0</v>
      </c>
      <c r="C169" s="13">
        <f>IFERROR(VLOOKUP(A169,'All Countries Data - Current'!$A$1:$D$230,3,FALSE)-VLOOKUP(A169,'All Countries Data - Prev'!$A:$D,3,FALSE), "No Data")</f>
        <v>0</v>
      </c>
      <c r="D169" s="15">
        <f>IF(TRIM(VLOOKUP(A169,'All Countries Data - Current'!$A$1:$D$230,4,FALSE))="No data","No Data",VLOOKUP(A169,'All Countries Data - Current'!$A$1:$D$230,4,FALSE)-VLOOKUP(A169,'All Countries Data - Prev'!$A:$D,4,FALSE))</f>
        <v>0</v>
      </c>
    </row>
    <row r="170" spans="1:4" x14ac:dyDescent="0.25">
      <c r="A170" t="s">
        <v>195</v>
      </c>
      <c r="B170" s="13">
        <f>VLOOKUP(A170,'All Countries Data - Current'!$A$1:$D$230,2,FALSE)-VLOOKUP(A170,'All Countries Data - Prev'!$A:$D,2,FALSE)</f>
        <v>5</v>
      </c>
      <c r="C170" s="13">
        <f>IFERROR(VLOOKUP(A170,'All Countries Data - Current'!$A$1:$D$230,3,FALSE)-VLOOKUP(A170,'All Countries Data - Prev'!$A:$D,3,FALSE), "No Data")</f>
        <v>0</v>
      </c>
      <c r="D170" s="15">
        <f>IF(TRIM(VLOOKUP(A170,'All Countries Data - Current'!$A$1:$D$230,4,FALSE))="No data","No Data",VLOOKUP(A170,'All Countries Data - Current'!$A$1:$D$230,4,FALSE)-VLOOKUP(A170,'All Countries Data - Prev'!$A:$D,4,FALSE))</f>
        <v>2</v>
      </c>
    </row>
    <row r="171" spans="1:4" x14ac:dyDescent="0.25">
      <c r="A171" t="s">
        <v>56</v>
      </c>
      <c r="B171" s="13">
        <f>VLOOKUP(A171,'All Countries Data - Current'!$A$1:$D$230,2,FALSE)-VLOOKUP(A171,'All Countries Data - Prev'!$A:$D,2,FALSE)</f>
        <v>2</v>
      </c>
      <c r="C171" s="13">
        <f>IFERROR(VLOOKUP(A171,'All Countries Data - Current'!$A$1:$D$230,3,FALSE)-VLOOKUP(A171,'All Countries Data - Prev'!$A:$D,3,FALSE), "No Data")</f>
        <v>0</v>
      </c>
      <c r="D171" s="15">
        <f>IF(TRIM(VLOOKUP(A171,'All Countries Data - Current'!$A$1:$D$230,4,FALSE))="No data","No Data",VLOOKUP(A171,'All Countries Data - Current'!$A$1:$D$230,4,FALSE)-VLOOKUP(A171,'All Countries Data - Prev'!$A:$D,4,FALSE))</f>
        <v>2</v>
      </c>
    </row>
    <row r="172" spans="1:4" x14ac:dyDescent="0.25">
      <c r="A172" t="s">
        <v>196</v>
      </c>
      <c r="B172" s="13">
        <f>VLOOKUP(A172,'All Countries Data - Current'!$A$1:$D$230,2,FALSE)-VLOOKUP(A172,'All Countries Data - Prev'!$A:$D,2,FALSE)</f>
        <v>0</v>
      </c>
      <c r="C172" s="13">
        <f>IFERROR(VLOOKUP(A172,'All Countries Data - Current'!$A$1:$D$230,3,FALSE)-VLOOKUP(A172,'All Countries Data - Prev'!$A:$D,3,FALSE), "No Data")</f>
        <v>0</v>
      </c>
      <c r="D172" s="15">
        <f>IF(TRIM(VLOOKUP(A172,'All Countries Data - Current'!$A$1:$D$230,4,FALSE))="No data","No Data",VLOOKUP(A172,'All Countries Data - Current'!$A$1:$D$230,4,FALSE)-VLOOKUP(A172,'All Countries Data - Prev'!$A:$D,4,FALSE))</f>
        <v>0</v>
      </c>
    </row>
    <row r="173" spans="1:4" x14ac:dyDescent="0.25">
      <c r="A173" t="s">
        <v>200</v>
      </c>
      <c r="B173" s="13">
        <f>VLOOKUP(A173,'All Countries Data - Current'!$A$1:$D$230,2,FALSE)-VLOOKUP(A173,'All Countries Data - Prev'!$A:$D,2,FALSE)</f>
        <v>5</v>
      </c>
      <c r="C173" s="13">
        <f>IFERROR(VLOOKUP(A173,'All Countries Data - Current'!$A$1:$D$230,3,FALSE)-VLOOKUP(A173,'All Countries Data - Prev'!$A:$D,3,FALSE), "No Data")</f>
        <v>0</v>
      </c>
      <c r="D173" s="15">
        <f>IF(TRIM(VLOOKUP(A173,'All Countries Data - Current'!$A$1:$D$230,4,FALSE))="No data","No Data",VLOOKUP(A173,'All Countries Data - Current'!$A$1:$D$230,4,FALSE)-VLOOKUP(A173,'All Countries Data - Prev'!$A:$D,4,FALSE))</f>
        <v>4</v>
      </c>
    </row>
    <row r="174" spans="1:4" x14ac:dyDescent="0.25">
      <c r="A174" t="s">
        <v>197</v>
      </c>
      <c r="B174" s="13">
        <f>VLOOKUP(A174,'All Countries Data - Current'!$A$1:$D$230,2,FALSE)-VLOOKUP(A174,'All Countries Data - Prev'!$A:$D,2,FALSE)</f>
        <v>0</v>
      </c>
      <c r="C174" s="13">
        <f>IFERROR(VLOOKUP(A174,'All Countries Data - Current'!$A$1:$D$230,3,FALSE)-VLOOKUP(A174,'All Countries Data - Prev'!$A:$D,3,FALSE), "No Data")</f>
        <v>0</v>
      </c>
      <c r="D174" s="15">
        <f>IF(TRIM(VLOOKUP(A174,'All Countries Data - Current'!$A$1:$D$230,4,FALSE))="No data","No Data",VLOOKUP(A174,'All Countries Data - Current'!$A$1:$D$230,4,FALSE)-VLOOKUP(A174,'All Countries Data - Prev'!$A:$D,4,FALSE))</f>
        <v>0</v>
      </c>
    </row>
    <row r="175" spans="1:4" x14ac:dyDescent="0.25">
      <c r="A175" t="s">
        <v>198</v>
      </c>
      <c r="B175" s="13">
        <f>VLOOKUP(A175,'All Countries Data - Current'!$A$1:$D$230,2,FALSE)-VLOOKUP(A175,'All Countries Data - Prev'!$A:$D,2,FALSE)</f>
        <v>0</v>
      </c>
      <c r="C175" s="13">
        <f>IFERROR(VLOOKUP(A175,'All Countries Data - Current'!$A$1:$D$230,3,FALSE)-VLOOKUP(A175,'All Countries Data - Prev'!$A:$D,3,FALSE), "No Data")</f>
        <v>0</v>
      </c>
      <c r="D175" s="15">
        <f>IF(TRIM(VLOOKUP(A175,'All Countries Data - Current'!$A$1:$D$230,4,FALSE))="No data","No Data",VLOOKUP(A175,'All Countries Data - Current'!$A$1:$D$230,4,FALSE)-VLOOKUP(A175,'All Countries Data - Prev'!$A:$D,4,FALSE))</f>
        <v>0</v>
      </c>
    </row>
    <row r="176" spans="1:4" x14ac:dyDescent="0.25">
      <c r="A176" t="s">
        <v>40</v>
      </c>
      <c r="B176" s="13">
        <f>VLOOKUP(A176,'All Countries Data - Current'!$A$1:$D$230,2,FALSE)-VLOOKUP(A176,'All Countries Data - Prev'!$A:$D,2,FALSE)</f>
        <v>0</v>
      </c>
      <c r="C176" s="13">
        <f>IFERROR(VLOOKUP(A176,'All Countries Data - Current'!$A$1:$D$230,3,FALSE)-VLOOKUP(A176,'All Countries Data - Prev'!$A:$D,3,FALSE), "No Data")</f>
        <v>0</v>
      </c>
      <c r="D176" s="15">
        <f>IF(TRIM(VLOOKUP(A176,'All Countries Data - Current'!$A$1:$D$230,4,FALSE))="No data","No Data",VLOOKUP(A176,'All Countries Data - Current'!$A$1:$D$230,4,FALSE)-VLOOKUP(A176,'All Countries Data - Prev'!$A:$D,4,FALSE))</f>
        <v>0</v>
      </c>
    </row>
    <row r="177" spans="1:4" x14ac:dyDescent="0.25">
      <c r="A177" t="s">
        <v>47</v>
      </c>
      <c r="B177" s="13">
        <f>VLOOKUP(A177,'All Countries Data - Current'!$A$1:$D$230,2,FALSE)-VLOOKUP(A177,'All Countries Data - Prev'!$A:$D,2,FALSE)</f>
        <v>7</v>
      </c>
      <c r="C177" s="13">
        <f>IFERROR(VLOOKUP(A177,'All Countries Data - Current'!$A$1:$D$230,3,FALSE)-VLOOKUP(A177,'All Countries Data - Prev'!$A:$D,3,FALSE), "No Data")</f>
        <v>0</v>
      </c>
      <c r="D177" s="15">
        <f>IF(TRIM(VLOOKUP(A177,'All Countries Data - Current'!$A$1:$D$230,4,FALSE))="No data","No Data",VLOOKUP(A177,'All Countries Data - Current'!$A$1:$D$230,4,FALSE)-VLOOKUP(A177,'All Countries Data - Prev'!$A:$D,4,FALSE))</f>
        <v>0</v>
      </c>
    </row>
    <row r="178" spans="1:4" x14ac:dyDescent="0.25">
      <c r="A178" t="s">
        <v>199</v>
      </c>
      <c r="B178" s="13">
        <f>VLOOKUP(A178,'All Countries Data - Current'!$A$1:$D$230,2,FALSE)-VLOOKUP(A178,'All Countries Data - Prev'!$A:$D,2,FALSE)</f>
        <v>0</v>
      </c>
      <c r="C178" s="13">
        <f>IFERROR(VLOOKUP(A178,'All Countries Data - Current'!$A$1:$D$230,3,FALSE)-VLOOKUP(A178,'All Countries Data - Prev'!$A:$D,3,FALSE), "No Data")</f>
        <v>0</v>
      </c>
      <c r="D178" s="15" t="str">
        <f>IF(TRIM(VLOOKUP(A178,'All Countries Data - Current'!$A$1:$D$230,4,FALSE))="No data","No Data",VLOOKUP(A178,'All Countries Data - Current'!$A$1:$D$230,4,FALSE)-VLOOKUP(A178,'All Countries Data - Prev'!$A:$D,4,FALSE))</f>
        <v>No Data</v>
      </c>
    </row>
    <row r="179" spans="1:4" x14ac:dyDescent="0.25">
      <c r="A179" t="s">
        <v>155</v>
      </c>
      <c r="B179" s="13">
        <f>VLOOKUP(A179,'All Countries Data - Current'!$A$1:$D$230,2,FALSE)-VLOOKUP(A179,'All Countries Data - Prev'!$A:$D,2,FALSE)</f>
        <v>0</v>
      </c>
      <c r="C179" s="13">
        <f>IFERROR(VLOOKUP(A179,'All Countries Data - Current'!$A$1:$D$230,3,FALSE)-VLOOKUP(A179,'All Countries Data - Prev'!$A:$D,3,FALSE), "No Data")</f>
        <v>0</v>
      </c>
      <c r="D179" s="15">
        <f>IF(TRIM(VLOOKUP(A179,'All Countries Data - Current'!$A$1:$D$230,4,FALSE))="No data","No Data",VLOOKUP(A179,'All Countries Data - Current'!$A$1:$D$230,4,FALSE)-VLOOKUP(A179,'All Countries Data - Prev'!$A:$D,4,FALSE))</f>
        <v>2</v>
      </c>
    </row>
    <row r="180" spans="1:4" x14ac:dyDescent="0.25">
      <c r="A180" t="s">
        <v>201</v>
      </c>
      <c r="B180" s="13">
        <f>VLOOKUP(A180,'All Countries Data - Current'!$A$1:$D$230,2,FALSE)-VLOOKUP(A180,'All Countries Data - Prev'!$A:$D,2,FALSE)</f>
        <v>0</v>
      </c>
      <c r="C180" s="13">
        <f>IFERROR(VLOOKUP(A180,'All Countries Data - Current'!$A$1:$D$230,3,FALSE)-VLOOKUP(A180,'All Countries Data - Prev'!$A:$D,3,FALSE), "No Data")</f>
        <v>0</v>
      </c>
      <c r="D180" s="15">
        <f>IF(TRIM(VLOOKUP(A180,'All Countries Data - Current'!$A$1:$D$230,4,FALSE))="No data","No Data",VLOOKUP(A180,'All Countries Data - Current'!$A$1:$D$230,4,FALSE)-VLOOKUP(A180,'All Countries Data - Prev'!$A:$D,4,FALSE))</f>
        <v>0</v>
      </c>
    </row>
    <row r="181" spans="1:4" x14ac:dyDescent="0.25">
      <c r="A181" t="s">
        <v>202</v>
      </c>
      <c r="B181" s="13">
        <f>VLOOKUP(A181,'All Countries Data - Current'!$A$1:$D$230,2,FALSE)-VLOOKUP(A181,'All Countries Data - Prev'!$A:$D,2,FALSE)</f>
        <v>0</v>
      </c>
      <c r="C181" s="13">
        <f>IFERROR(VLOOKUP(A181,'All Countries Data - Current'!$A$1:$D$230,3,FALSE)-VLOOKUP(A181,'All Countries Data - Prev'!$A:$D,3,FALSE), "No Data")</f>
        <v>0</v>
      </c>
      <c r="D181" s="15">
        <f>IF(TRIM(VLOOKUP(A181,'All Countries Data - Current'!$A$1:$D$230,4,FALSE))="No data","No Data",VLOOKUP(A181,'All Countries Data - Current'!$A$1:$D$230,4,FALSE)-VLOOKUP(A181,'All Countries Data - Prev'!$A:$D,4,FALSE))</f>
        <v>0</v>
      </c>
    </row>
    <row r="182" spans="1:4" x14ac:dyDescent="0.25">
      <c r="A182" t="s">
        <v>42</v>
      </c>
      <c r="B182" s="13">
        <f>VLOOKUP(A182,'All Countries Data - Current'!$A$1:$D$230,2,FALSE)-VLOOKUP(A182,'All Countries Data - Prev'!$A:$D,2,FALSE)</f>
        <v>0</v>
      </c>
      <c r="C182" s="13">
        <f>IFERROR(VLOOKUP(A182,'All Countries Data - Current'!$A$1:$D$230,3,FALSE)-VLOOKUP(A182,'All Countries Data - Prev'!$A:$D,3,FALSE), "No Data")</f>
        <v>0</v>
      </c>
      <c r="D182" s="15">
        <f>IF(TRIM(VLOOKUP(A182,'All Countries Data - Current'!$A$1:$D$230,4,FALSE))="No data","No Data",VLOOKUP(A182,'All Countries Data - Current'!$A$1:$D$230,4,FALSE)-VLOOKUP(A182,'All Countries Data - Prev'!$A:$D,4,FALSE))</f>
        <v>0</v>
      </c>
    </row>
    <row r="183" spans="1:4" x14ac:dyDescent="0.25">
      <c r="A183" t="s">
        <v>203</v>
      </c>
      <c r="B183" s="13">
        <f>VLOOKUP(A183,'All Countries Data - Current'!$A$1:$D$230,2,FALSE)-VLOOKUP(A183,'All Countries Data - Prev'!$A:$D,2,FALSE)</f>
        <v>0</v>
      </c>
      <c r="C183" s="13">
        <f>IFERROR(VLOOKUP(A183,'All Countries Data - Current'!$A$1:$D$230,3,FALSE)-VLOOKUP(A183,'All Countries Data - Prev'!$A:$D,3,FALSE), "No Data")</f>
        <v>0</v>
      </c>
      <c r="D183" s="15">
        <f>IF(TRIM(VLOOKUP(A183,'All Countries Data - Current'!$A$1:$D$230,4,FALSE))="No data","No Data",VLOOKUP(A183,'All Countries Data - Current'!$A$1:$D$230,4,FALSE)-VLOOKUP(A183,'All Countries Data - Prev'!$A:$D,4,FALSE))</f>
        <v>0</v>
      </c>
    </row>
    <row r="184" spans="1:4" x14ac:dyDescent="0.25">
      <c r="A184" t="s">
        <v>110</v>
      </c>
      <c r="B184" s="13">
        <f>VLOOKUP(A184,'All Countries Data - Current'!$A$1:$D$230,2,FALSE)-VLOOKUP(A184,'All Countries Data - Prev'!$A:$D,2,FALSE)</f>
        <v>0</v>
      </c>
      <c r="C184" s="13">
        <f>IFERROR(VLOOKUP(A184,'All Countries Data - Current'!$A$1:$D$230,3,FALSE)-VLOOKUP(A184,'All Countries Data - Prev'!$A:$D,3,FALSE), "No Data")</f>
        <v>0</v>
      </c>
      <c r="D184" s="15">
        <f>IF(TRIM(VLOOKUP(A184,'All Countries Data - Current'!$A$1:$D$230,4,FALSE))="No data","No Data",VLOOKUP(A184,'All Countries Data - Current'!$A$1:$D$230,4,FALSE)-VLOOKUP(A184,'All Countries Data - Prev'!$A:$D,4,FALSE))</f>
        <v>0</v>
      </c>
    </row>
    <row r="185" spans="1:4" x14ac:dyDescent="0.25">
      <c r="A185" t="s">
        <v>0</v>
      </c>
      <c r="B185" s="13">
        <f>VLOOKUP(A185,'All Countries Data - Current'!$A$1:$D$230,2,FALSE)-VLOOKUP(A185,'All Countries Data - Prev'!$A:$D,2,FALSE)</f>
        <v>4</v>
      </c>
      <c r="C185" s="13">
        <f>IFERROR(VLOOKUP(A185,'All Countries Data - Current'!$A$1:$D$230,3,FALSE)-VLOOKUP(A185,'All Countries Data - Prev'!$A:$D,3,FALSE), "No Data")</f>
        <v>0</v>
      </c>
      <c r="D185" s="15">
        <f>IF(TRIM(VLOOKUP(A185,'All Countries Data - Current'!$A$1:$D$230,4,FALSE))="No data","No Data",VLOOKUP(A185,'All Countries Data - Current'!$A$1:$D$230,4,FALSE)-VLOOKUP(A185,'All Countries Data - Prev'!$A:$D,4,FALSE))</f>
        <v>0</v>
      </c>
    </row>
    <row r="186" spans="1:4" x14ac:dyDescent="0.25">
      <c r="A186" t="s">
        <v>66</v>
      </c>
      <c r="B186" s="13">
        <f>VLOOKUP(A186,'All Countries Data - Current'!$A$1:$D$230,2,FALSE)-VLOOKUP(A186,'All Countries Data - Prev'!$A:$D,2,FALSE)</f>
        <v>0</v>
      </c>
      <c r="C186" s="13">
        <f>IFERROR(VLOOKUP(A186,'All Countries Data - Current'!$A$1:$D$230,3,FALSE)-VLOOKUP(A186,'All Countries Data - Prev'!$A:$D,3,FALSE), "No Data")</f>
        <v>0</v>
      </c>
      <c r="D186" s="15">
        <f>IF(TRIM(VLOOKUP(A186,'All Countries Data - Current'!$A$1:$D$230,4,FALSE))="No data","No Data",VLOOKUP(A186,'All Countries Data - Current'!$A$1:$D$230,4,FALSE)-VLOOKUP(A186,'All Countries Data - Prev'!$A:$D,4,FALSE))</f>
        <v>0</v>
      </c>
    </row>
    <row r="187" spans="1:4" x14ac:dyDescent="0.25">
      <c r="A187" t="s">
        <v>1</v>
      </c>
      <c r="B187" s="13">
        <f>VLOOKUP(A187,'All Countries Data - Current'!$A$1:$D$230,2,FALSE)-VLOOKUP(A187,'All Countries Data - Prev'!$A:$D,2,FALSE)</f>
        <v>0</v>
      </c>
      <c r="C187" s="13">
        <f>IFERROR(VLOOKUP(A187,'All Countries Data - Current'!$A$1:$D$230,3,FALSE)-VLOOKUP(A187,'All Countries Data - Prev'!$A:$D,3,FALSE), "No Data")</f>
        <v>0</v>
      </c>
      <c r="D187" s="15">
        <f>IF(TRIM(VLOOKUP(A187,'All Countries Data - Current'!$A$1:$D$230,4,FALSE))="No data","No Data",VLOOKUP(A187,'All Countries Data - Current'!$A$1:$D$230,4,FALSE)-VLOOKUP(A187,'All Countries Data - Prev'!$A:$D,4,FALSE))</f>
        <v>0</v>
      </c>
    </row>
    <row r="188" spans="1:4" x14ac:dyDescent="0.25">
      <c r="A188" t="s">
        <v>116</v>
      </c>
      <c r="B188" s="13">
        <f>VLOOKUP(A188,'All Countries Data - Current'!$A$1:$D$230,2,FALSE)-VLOOKUP(A188,'All Countries Data - Prev'!$A:$D,2,FALSE)</f>
        <v>0</v>
      </c>
      <c r="C188" s="13">
        <f>IFERROR(VLOOKUP(A188,'All Countries Data - Current'!$A$1:$D$230,3,FALSE)-VLOOKUP(A188,'All Countries Data - Prev'!$A:$D,3,FALSE), "No Data")</f>
        <v>0</v>
      </c>
      <c r="D188" s="15">
        <f>IF(TRIM(VLOOKUP(A188,'All Countries Data - Current'!$A$1:$D$230,4,FALSE))="No data","No Data",VLOOKUP(A188,'All Countries Data - Current'!$A$1:$D$230,4,FALSE)-VLOOKUP(A188,'All Countries Data - Prev'!$A:$D,4,FALSE))</f>
        <v>0</v>
      </c>
    </row>
    <row r="189" spans="1:4" x14ac:dyDescent="0.25">
      <c r="A189" t="s">
        <v>204</v>
      </c>
      <c r="B189" s="13">
        <f>VLOOKUP(A189,'All Countries Data - Current'!$A$1:$D$230,2,FALSE)-VLOOKUP(A189,'All Countries Data - Prev'!$A:$D,2,FALSE)</f>
        <v>0</v>
      </c>
      <c r="C189" s="13">
        <f>IFERROR(VLOOKUP(A189,'All Countries Data - Current'!$A$1:$D$230,3,FALSE)-VLOOKUP(A189,'All Countries Data - Prev'!$A:$D,3,FALSE), "No Data")</f>
        <v>0</v>
      </c>
      <c r="D189" s="15">
        <f>IF(TRIM(VLOOKUP(A189,'All Countries Data - Current'!$A$1:$D$230,4,FALSE))="No data","No Data",VLOOKUP(A189,'All Countries Data - Current'!$A$1:$D$230,4,FALSE)-VLOOKUP(A189,'All Countries Data - Prev'!$A:$D,4,FALSE))</f>
        <v>0</v>
      </c>
    </row>
    <row r="190" spans="1:4" x14ac:dyDescent="0.25">
      <c r="A190" t="s">
        <v>205</v>
      </c>
      <c r="B190" s="13">
        <f>VLOOKUP(A190,'All Countries Data - Current'!$A$1:$D$230,2,FALSE)-VLOOKUP(A190,'All Countries Data - Prev'!$A:$D,2,FALSE)</f>
        <v>0</v>
      </c>
      <c r="C190" s="13">
        <f>IFERROR(VLOOKUP(A190,'All Countries Data - Current'!$A$1:$D$230,3,FALSE)-VLOOKUP(A190,'All Countries Data - Prev'!$A:$D,3,FALSE), "No Data")</f>
        <v>0</v>
      </c>
      <c r="D190" s="15">
        <f>IF(TRIM(VLOOKUP(A190,'All Countries Data - Current'!$A$1:$D$230,4,FALSE))="No data","No Data",VLOOKUP(A190,'All Countries Data - Current'!$A$1:$D$230,4,FALSE)-VLOOKUP(A190,'All Countries Data - Prev'!$A:$D,4,FALSE))</f>
        <v>1</v>
      </c>
    </row>
    <row r="191" spans="1:4" x14ac:dyDescent="0.25">
      <c r="A191" t="s">
        <v>206</v>
      </c>
      <c r="B191" s="13">
        <f>VLOOKUP(A191,'All Countries Data - Current'!$A$1:$D$230,2,FALSE)-VLOOKUP(A191,'All Countries Data - Prev'!$A:$D,2,FALSE)</f>
        <v>0</v>
      </c>
      <c r="C191" s="13">
        <f>IFERROR(VLOOKUP(A191,'All Countries Data - Current'!$A$1:$D$230,3,FALSE)-VLOOKUP(A191,'All Countries Data - Prev'!$A:$D,3,FALSE), "No Data")</f>
        <v>0</v>
      </c>
      <c r="D191" s="15">
        <f>IF(TRIM(VLOOKUP(A191,'All Countries Data - Current'!$A$1:$D$230,4,FALSE))="No data","No Data",VLOOKUP(A191,'All Countries Data - Current'!$A$1:$D$230,4,FALSE)-VLOOKUP(A191,'All Countries Data - Prev'!$A:$D,4,FALSE))</f>
        <v>0</v>
      </c>
    </row>
    <row r="192" spans="1:4" x14ac:dyDescent="0.25">
      <c r="A192" t="s">
        <v>137</v>
      </c>
      <c r="B192" s="13">
        <f>VLOOKUP(A192,'All Countries Data - Current'!$A$1:$D$230,2,FALSE)-VLOOKUP(A192,'All Countries Data - Prev'!$A:$D,2,FALSE)</f>
        <v>0</v>
      </c>
      <c r="C192" s="13">
        <f>IFERROR(VLOOKUP(A192,'All Countries Data - Current'!$A$1:$D$230,3,FALSE)-VLOOKUP(A192,'All Countries Data - Prev'!$A:$D,3,FALSE), "No Data")</f>
        <v>0</v>
      </c>
      <c r="D192" s="15">
        <f>IF(TRIM(VLOOKUP(A192,'All Countries Data - Current'!$A$1:$D$230,4,FALSE))="No data","No Data",VLOOKUP(A192,'All Countries Data - Current'!$A$1:$D$230,4,FALSE)-VLOOKUP(A192,'All Countries Data - Prev'!$A:$D,4,FALSE))</f>
        <v>4</v>
      </c>
    </row>
    <row r="193" spans="1:4" x14ac:dyDescent="0.25">
      <c r="A193" t="s">
        <v>207</v>
      </c>
      <c r="B193" s="13">
        <f>VLOOKUP(A193,'All Countries Data - Current'!$A$1:$D$230,2,FALSE)-VLOOKUP(A193,'All Countries Data - Prev'!$A:$D,2,FALSE)</f>
        <v>7</v>
      </c>
      <c r="C193" s="13">
        <f>IFERROR(VLOOKUP(A193,'All Countries Data - Current'!$A$1:$D$230,3,FALSE)-VLOOKUP(A193,'All Countries Data - Prev'!$A:$D,3,FALSE), "No Data")</f>
        <v>0</v>
      </c>
      <c r="D193" s="15">
        <f>IF(TRIM(VLOOKUP(A193,'All Countries Data - Current'!$A$1:$D$230,4,FALSE))="No data","No Data",VLOOKUP(A193,'All Countries Data - Current'!$A$1:$D$230,4,FALSE)-VLOOKUP(A193,'All Countries Data - Prev'!$A:$D,4,FALSE))</f>
        <v>12</v>
      </c>
    </row>
    <row r="194" spans="1:4" x14ac:dyDescent="0.25">
      <c r="A194" t="s">
        <v>208</v>
      </c>
      <c r="B194" s="13">
        <f>VLOOKUP(A194,'All Countries Data - Current'!$A$1:$D$230,2,FALSE)-VLOOKUP(A194,'All Countries Data - Prev'!$A:$D,2,FALSE)</f>
        <v>0</v>
      </c>
      <c r="C194" s="13">
        <f>IFERROR(VLOOKUP(A194,'All Countries Data - Current'!$A$1:$D$230,3,FALSE)-VLOOKUP(A194,'All Countries Data - Prev'!$A:$D,3,FALSE), "No Data")</f>
        <v>0</v>
      </c>
      <c r="D194" s="15">
        <f>IF(TRIM(VLOOKUP(A194,'All Countries Data - Current'!$A$1:$D$230,4,FALSE))="No data","No Data",VLOOKUP(A194,'All Countries Data - Current'!$A$1:$D$230,4,FALSE)-VLOOKUP(A194,'All Countries Data - Prev'!$A:$D,4,FALSE))</f>
        <v>0</v>
      </c>
    </row>
    <row r="195" spans="1:4" x14ac:dyDescent="0.25">
      <c r="A195" t="s">
        <v>209</v>
      </c>
      <c r="B195" s="13">
        <f>VLOOKUP(A195,'All Countries Data - Current'!$A$1:$D$230,2,FALSE)-VLOOKUP(A195,'All Countries Data - Prev'!$A:$D,2,FALSE)</f>
        <v>0</v>
      </c>
      <c r="C195" s="13">
        <f>IFERROR(VLOOKUP(A195,'All Countries Data - Current'!$A$1:$D$230,3,FALSE)-VLOOKUP(A195,'All Countries Data - Prev'!$A:$D,3,FALSE), "No Data")</f>
        <v>0</v>
      </c>
      <c r="D195" s="15">
        <f>IF(TRIM(VLOOKUP(A195,'All Countries Data - Current'!$A$1:$D$230,4,FALSE))="No data","No Data",VLOOKUP(A195,'All Countries Data - Current'!$A$1:$D$230,4,FALSE)-VLOOKUP(A195,'All Countries Data - Prev'!$A:$D,4,FALSE))</f>
        <v>0</v>
      </c>
    </row>
    <row r="196" spans="1:4" x14ac:dyDescent="0.25">
      <c r="A196" t="s">
        <v>4</v>
      </c>
      <c r="B196" s="13">
        <f>VLOOKUP(A196,'All Countries Data - Current'!$A$1:$D$230,2,FALSE)-VLOOKUP(A196,'All Countries Data - Prev'!$A:$D,2,FALSE)</f>
        <v>0</v>
      </c>
      <c r="C196" s="13">
        <f>IFERROR(VLOOKUP(A196,'All Countries Data - Current'!$A$1:$D$230,3,FALSE)-VLOOKUP(A196,'All Countries Data - Prev'!$A:$D,3,FALSE), "No Data")</f>
        <v>0</v>
      </c>
      <c r="D196" s="15">
        <f>IF(TRIM(VLOOKUP(A196,'All Countries Data - Current'!$A$1:$D$230,4,FALSE))="No data","No Data",VLOOKUP(A196,'All Countries Data - Current'!$A$1:$D$230,4,FALSE)-VLOOKUP(A196,'All Countries Data - Prev'!$A:$D,4,FALSE))</f>
        <v>0</v>
      </c>
    </row>
    <row r="197" spans="1:4" x14ac:dyDescent="0.25">
      <c r="A197" t="s">
        <v>33</v>
      </c>
      <c r="B197" s="13">
        <f>VLOOKUP(A197,'All Countries Data - Current'!$A$1:$D$230,2,FALSE)-VLOOKUP(A197,'All Countries Data - Prev'!$A:$D,2,FALSE)</f>
        <v>0</v>
      </c>
      <c r="C197" s="13">
        <f>IFERROR(VLOOKUP(A197,'All Countries Data - Current'!$A$1:$D$230,3,FALSE)-VLOOKUP(A197,'All Countries Data - Prev'!$A:$D,3,FALSE), "No Data")</f>
        <v>0</v>
      </c>
      <c r="D197" s="15">
        <f>IF(TRIM(VLOOKUP(A197,'All Countries Data - Current'!$A$1:$D$230,4,FALSE))="No data","No Data",VLOOKUP(A197,'All Countries Data - Current'!$A$1:$D$230,4,FALSE)-VLOOKUP(A197,'All Countries Data - Prev'!$A:$D,4,FALSE))</f>
        <v>0</v>
      </c>
    </row>
    <row r="198" spans="1:4" x14ac:dyDescent="0.25">
      <c r="A198" t="s">
        <v>210</v>
      </c>
      <c r="B198" s="13">
        <f>VLOOKUP(A198,'All Countries Data - Current'!$A$1:$D$230,2,FALSE)-VLOOKUP(A198,'All Countries Data - Prev'!$A:$D,2,FALSE)</f>
        <v>0</v>
      </c>
      <c r="C198" s="13">
        <f>IFERROR(VLOOKUP(A198,'All Countries Data - Current'!$A$1:$D$230,3,FALSE)-VLOOKUP(A198,'All Countries Data - Prev'!$A:$D,3,FALSE), "No Data")</f>
        <v>0</v>
      </c>
      <c r="D198" s="15">
        <f>IF(TRIM(VLOOKUP(A198,'All Countries Data - Current'!$A$1:$D$230,4,FALSE))="No data","No Data",VLOOKUP(A198,'All Countries Data - Current'!$A$1:$D$230,4,FALSE)-VLOOKUP(A198,'All Countries Data - Prev'!$A:$D,4,FALSE))</f>
        <v>0</v>
      </c>
    </row>
    <row r="199" spans="1:4" x14ac:dyDescent="0.25">
      <c r="A199" t="s">
        <v>15</v>
      </c>
      <c r="B199" s="13">
        <f>VLOOKUP(A199,'All Countries Data - Current'!$A$1:$D$230,2,FALSE)-VLOOKUP(A199,'All Countries Data - Prev'!$A:$D,2,FALSE)</f>
        <v>0</v>
      </c>
      <c r="C199" s="13">
        <f>IFERROR(VLOOKUP(A199,'All Countries Data - Current'!$A$1:$D$230,3,FALSE)-VLOOKUP(A199,'All Countries Data - Prev'!$A:$D,3,FALSE), "No Data")</f>
        <v>0</v>
      </c>
      <c r="D199" s="15">
        <f>IF(TRIM(VLOOKUP(A199,'All Countries Data - Current'!$A$1:$D$230,4,FALSE))="No data","No Data",VLOOKUP(A199,'All Countries Data - Current'!$A$1:$D$230,4,FALSE)-VLOOKUP(A199,'All Countries Data - Prev'!$A:$D,4,FALSE))</f>
        <v>1</v>
      </c>
    </row>
    <row r="200" spans="1:4" x14ac:dyDescent="0.25">
      <c r="A200" t="s">
        <v>212</v>
      </c>
      <c r="B200" s="13">
        <f>VLOOKUP(A200,'All Countries Data - Current'!$A$1:$D$230,2,FALSE)-VLOOKUP(A200,'All Countries Data - Prev'!$A:$D,2,FALSE)</f>
        <v>3</v>
      </c>
      <c r="C200" s="13">
        <f>IFERROR(VLOOKUP(A200,'All Countries Data - Current'!$A$1:$D$230,3,FALSE)-VLOOKUP(A200,'All Countries Data - Prev'!$A:$D,3,FALSE), "No Data")</f>
        <v>0</v>
      </c>
      <c r="D200" s="15">
        <f>IF(TRIM(VLOOKUP(A200,'All Countries Data - Current'!$A$1:$D$230,4,FALSE))="No data","No Data",VLOOKUP(A200,'All Countries Data - Current'!$A$1:$D$230,4,FALSE)-VLOOKUP(A200,'All Countries Data - Prev'!$A:$D,4,FALSE))</f>
        <v>0</v>
      </c>
    </row>
    <row r="201" spans="1:4" x14ac:dyDescent="0.25">
      <c r="A201" t="s">
        <v>213</v>
      </c>
      <c r="B201" s="13">
        <f>VLOOKUP(A201,'All Countries Data - Current'!$A$1:$D$230,2,FALSE)-VLOOKUP(A201,'All Countries Data - Prev'!$A:$D,2,FALSE)</f>
        <v>0</v>
      </c>
      <c r="C201" s="13">
        <f>IFERROR(VLOOKUP(A201,'All Countries Data - Current'!$A$1:$D$230,3,FALSE)-VLOOKUP(A201,'All Countries Data - Prev'!$A:$D,3,FALSE), "No Data")</f>
        <v>0</v>
      </c>
      <c r="D201" s="15">
        <f>IF(TRIM(VLOOKUP(A201,'All Countries Data - Current'!$A$1:$D$230,4,FALSE))="No data","No Data",VLOOKUP(A201,'All Countries Data - Current'!$A$1:$D$230,4,FALSE)-VLOOKUP(A201,'All Countries Data - Prev'!$A:$D,4,FALSE))</f>
        <v>0</v>
      </c>
    </row>
    <row r="202" spans="1:4" x14ac:dyDescent="0.25">
      <c r="A202" t="s">
        <v>214</v>
      </c>
      <c r="B202" s="13">
        <f>VLOOKUP(A202,'All Countries Data - Current'!$A$1:$D$230,2,FALSE)-VLOOKUP(A202,'All Countries Data - Prev'!$A:$D,2,FALSE)</f>
        <v>0</v>
      </c>
      <c r="C202" s="13">
        <f>IFERROR(VLOOKUP(A202,'All Countries Data - Current'!$A$1:$D$230,3,FALSE)-VLOOKUP(A202,'All Countries Data - Prev'!$A:$D,3,FALSE), "No Data")</f>
        <v>0</v>
      </c>
      <c r="D202" s="15">
        <f>IF(TRIM(VLOOKUP(A202,'All Countries Data - Current'!$A$1:$D$230,4,FALSE))="No data","No Data",VLOOKUP(A202,'All Countries Data - Current'!$A$1:$D$230,4,FALSE)-VLOOKUP(A202,'All Countries Data - Prev'!$A:$D,4,FALSE))</f>
        <v>0</v>
      </c>
    </row>
    <row r="203" spans="1:4" x14ac:dyDescent="0.25">
      <c r="A203" t="s">
        <v>211</v>
      </c>
      <c r="B203" s="13">
        <f>VLOOKUP(A203,'All Countries Data - Current'!$A$1:$D$230,2,FALSE)-VLOOKUP(A203,'All Countries Data - Prev'!$A:$D,2,FALSE)</f>
        <v>0</v>
      </c>
      <c r="C203" s="13">
        <f>IFERROR(VLOOKUP(A203,'All Countries Data - Current'!$A$1:$D$230,3,FALSE)-VLOOKUP(A203,'All Countries Data - Prev'!$A:$D,3,FALSE), "No Data")</f>
        <v>0</v>
      </c>
      <c r="D203" s="15">
        <f>IF(TRIM(VLOOKUP(A203,'All Countries Data - Current'!$A$1:$D$230,4,FALSE))="No data","No Data",VLOOKUP(A203,'All Countries Data - Current'!$A$1:$D$230,4,FALSE)-VLOOKUP(A203,'All Countries Data - Prev'!$A:$D,4,FALSE))</f>
        <v>0</v>
      </c>
    </row>
    <row r="204" spans="1:4" x14ac:dyDescent="0.25">
      <c r="A204" t="s">
        <v>215</v>
      </c>
      <c r="B204" s="13">
        <f>VLOOKUP(A204,'All Countries Data - Current'!$A$1:$D$230,2,FALSE)-VLOOKUP(A204,'All Countries Data - Prev'!$A:$D,2,FALSE)</f>
        <v>0</v>
      </c>
      <c r="C204" s="13">
        <f>IFERROR(VLOOKUP(A204,'All Countries Data - Current'!$A$1:$D$230,3,FALSE)-VLOOKUP(A204,'All Countries Data - Prev'!$A:$D,3,FALSE), "No Data")</f>
        <v>0</v>
      </c>
      <c r="D204" s="15">
        <f>IF(TRIM(VLOOKUP(A204,'All Countries Data - Current'!$A$1:$D$230,4,FALSE))="No data","No Data",VLOOKUP(A204,'All Countries Data - Current'!$A$1:$D$230,4,FALSE)-VLOOKUP(A204,'All Countries Data - Prev'!$A:$D,4,FALSE))</f>
        <v>0</v>
      </c>
    </row>
    <row r="205" spans="1:4" x14ac:dyDescent="0.25">
      <c r="A205" t="s">
        <v>54</v>
      </c>
      <c r="B205" s="13">
        <f>VLOOKUP(A205,'All Countries Data - Current'!$A$1:$D$230,2,FALSE)-VLOOKUP(A205,'All Countries Data - Prev'!$A:$D,2,FALSE)</f>
        <v>0</v>
      </c>
      <c r="C205" s="13">
        <f>IFERROR(VLOOKUP(A205,'All Countries Data - Current'!$A$1:$D$230,3,FALSE)-VLOOKUP(A205,'All Countries Data - Prev'!$A:$D,3,FALSE), "No Data")</f>
        <v>0</v>
      </c>
      <c r="D205" s="15">
        <f>IF(TRIM(VLOOKUP(A205,'All Countries Data - Current'!$A$1:$D$230,4,FALSE))="No data","No Data",VLOOKUP(A205,'All Countries Data - Current'!$A$1:$D$230,4,FALSE)-VLOOKUP(A205,'All Countries Data - Prev'!$A:$D,4,FALSE))</f>
        <v>0</v>
      </c>
    </row>
    <row r="206" spans="1:4" x14ac:dyDescent="0.25">
      <c r="A206" t="s">
        <v>216</v>
      </c>
      <c r="B206" s="13">
        <f>VLOOKUP(A206,'All Countries Data - Current'!$A$1:$D$230,2,FALSE)-VLOOKUP(A206,'All Countries Data - Prev'!$A:$D,2,FALSE)</f>
        <v>0</v>
      </c>
      <c r="C206" s="13">
        <f>IFERROR(VLOOKUP(A206,'All Countries Data - Current'!$A$1:$D$230,3,FALSE)-VLOOKUP(A206,'All Countries Data - Prev'!$A:$D,3,FALSE), "No Data")</f>
        <v>0</v>
      </c>
      <c r="D206" s="15">
        <f>IF(TRIM(VLOOKUP(A206,'All Countries Data - Current'!$A$1:$D$230,4,FALSE))="No data","No Data",VLOOKUP(A206,'All Countries Data - Current'!$A$1:$D$230,4,FALSE)-VLOOKUP(A206,'All Countries Data - Prev'!$A:$D,4,FALSE))</f>
        <v>0</v>
      </c>
    </row>
    <row r="207" spans="1:4" x14ac:dyDescent="0.25">
      <c r="A207" t="s">
        <v>217</v>
      </c>
      <c r="B207" s="13">
        <f>VLOOKUP(A207,'All Countries Data - Current'!$A$1:$D$230,2,FALSE)-VLOOKUP(A207,'All Countries Data - Prev'!$A:$D,2,FALSE)</f>
        <v>1</v>
      </c>
      <c r="C207" s="13">
        <f>IFERROR(VLOOKUP(A207,'All Countries Data - Current'!$A$1:$D$230,3,FALSE)-VLOOKUP(A207,'All Countries Data - Prev'!$A:$D,3,FALSE), "No Data")</f>
        <v>0</v>
      </c>
      <c r="D207" s="15">
        <f>IF(TRIM(VLOOKUP(A207,'All Countries Data - Current'!$A$1:$D$230,4,FALSE))="No data","No Data",VLOOKUP(A207,'All Countries Data - Current'!$A$1:$D$230,4,FALSE)-VLOOKUP(A207,'All Countries Data - Prev'!$A:$D,4,FALSE))</f>
        <v>0</v>
      </c>
    </row>
    <row r="208" spans="1:4" x14ac:dyDescent="0.25">
      <c r="A208" t="s">
        <v>43</v>
      </c>
      <c r="B208" s="13">
        <f>VLOOKUP(A208,'All Countries Data - Current'!$A$1:$D$230,2,FALSE)-VLOOKUP(A208,'All Countries Data - Prev'!$A:$D,2,FALSE)</f>
        <v>1</v>
      </c>
      <c r="C208" s="13">
        <f>IFERROR(VLOOKUP(A208,'All Countries Data - Current'!$A$1:$D$230,3,FALSE)-VLOOKUP(A208,'All Countries Data - Prev'!$A:$D,3,FALSE), "No Data")</f>
        <v>0</v>
      </c>
      <c r="D208" s="15">
        <f>IF(TRIM(VLOOKUP(A208,'All Countries Data - Current'!$A$1:$D$230,4,FALSE))="No data","No Data",VLOOKUP(A208,'All Countries Data - Current'!$A$1:$D$230,4,FALSE)-VLOOKUP(A208,'All Countries Data - Prev'!$A:$D,4,FALSE))</f>
        <v>0</v>
      </c>
    </row>
    <row r="209" spans="1:4" x14ac:dyDescent="0.25">
      <c r="A209" t="s">
        <v>218</v>
      </c>
      <c r="B209" s="13">
        <f>VLOOKUP(A209,'All Countries Data - Current'!$A$1:$D$230,2,FALSE)-VLOOKUP(A209,'All Countries Data - Prev'!$A:$D,2,FALSE)</f>
        <v>0</v>
      </c>
      <c r="C209" s="13">
        <f>IFERROR(VLOOKUP(A209,'All Countries Data - Current'!$A$1:$D$230,3,FALSE)-VLOOKUP(A209,'All Countries Data - Prev'!$A:$D,3,FALSE), "No Data")</f>
        <v>0</v>
      </c>
      <c r="D209" s="15">
        <f>IF(TRIM(VLOOKUP(A209,'All Countries Data - Current'!$A$1:$D$230,4,FALSE))="No data","No Data",VLOOKUP(A209,'All Countries Data - Current'!$A$1:$D$230,4,FALSE)-VLOOKUP(A209,'All Countries Data - Prev'!$A:$D,4,FALSE))</f>
        <v>1</v>
      </c>
    </row>
    <row r="210" spans="1:4" x14ac:dyDescent="0.25">
      <c r="A210" t="s">
        <v>49</v>
      </c>
      <c r="B210" s="13">
        <f>VLOOKUP(A210,'All Countries Data - Current'!$A$1:$D$230,2,FALSE)-VLOOKUP(A210,'All Countries Data - Prev'!$A:$D,2,FALSE)</f>
        <v>0</v>
      </c>
      <c r="C210" s="13">
        <f>IFERROR(VLOOKUP(A210,'All Countries Data - Current'!$A$1:$D$230,3,FALSE)-VLOOKUP(A210,'All Countries Data - Prev'!$A:$D,3,FALSE), "No Data")</f>
        <v>0</v>
      </c>
      <c r="D210" s="15">
        <f>IF(TRIM(VLOOKUP(A210,'All Countries Data - Current'!$A$1:$D$230,4,FALSE))="No data","No Data",VLOOKUP(A210,'All Countries Data - Current'!$A$1:$D$230,4,FALSE)-VLOOKUP(A210,'All Countries Data - Prev'!$A:$D,4,FALSE))</f>
        <v>0</v>
      </c>
    </row>
    <row r="211" spans="1:4" x14ac:dyDescent="0.25">
      <c r="A211" t="s">
        <v>147</v>
      </c>
      <c r="B211" s="13">
        <f>VLOOKUP(A211,'All Countries Data - Current'!$A$1:$D$230,2,FALSE)-VLOOKUP(A211,'All Countries Data - Prev'!$A:$D,2,FALSE)</f>
        <v>0</v>
      </c>
      <c r="C211" s="13">
        <f>IFERROR(VLOOKUP(A211,'All Countries Data - Current'!$A$1:$D$230,3,FALSE)-VLOOKUP(A211,'All Countries Data - Prev'!$A:$D,3,FALSE), "No Data")</f>
        <v>0</v>
      </c>
      <c r="D211" s="15">
        <f>IF(TRIM(VLOOKUP(A211,'All Countries Data - Current'!$A$1:$D$230,4,FALSE))="No data","No Data",VLOOKUP(A211,'All Countries Data - Current'!$A$1:$D$230,4,FALSE)-VLOOKUP(A211,'All Countries Data - Prev'!$A:$D,4,FALSE))</f>
        <v>0</v>
      </c>
    </row>
    <row r="212" spans="1:4" x14ac:dyDescent="0.25">
      <c r="A212" t="s">
        <v>62</v>
      </c>
      <c r="B212" s="13">
        <f>VLOOKUP(A212,'All Countries Data - Current'!$A$1:$D$230,2,FALSE)-VLOOKUP(A212,'All Countries Data - Prev'!$A:$D,2,FALSE)</f>
        <v>0</v>
      </c>
      <c r="C212" s="13">
        <f>IFERROR(VLOOKUP(A212,'All Countries Data - Current'!$A$1:$D$230,3,FALSE)-VLOOKUP(A212,'All Countries Data - Prev'!$A:$D,3,FALSE), "No Data")</f>
        <v>0</v>
      </c>
      <c r="D212" s="15">
        <f>IF(TRIM(VLOOKUP(A212,'All Countries Data - Current'!$A$1:$D$230,4,FALSE))="No data","No Data",VLOOKUP(A212,'All Countries Data - Current'!$A$1:$D$230,4,FALSE)-VLOOKUP(A212,'All Countries Data - Prev'!$A:$D,4,FALSE))</f>
        <v>0</v>
      </c>
    </row>
    <row r="213" spans="1:4" x14ac:dyDescent="0.25">
      <c r="A213" t="s">
        <v>219</v>
      </c>
      <c r="B213" s="13">
        <f>VLOOKUP(A213,'All Countries Data - Current'!$A$1:$D$230,2,FALSE)-VLOOKUP(A213,'All Countries Data - Prev'!$A:$D,2,FALSE)</f>
        <v>0</v>
      </c>
      <c r="C213" s="13">
        <f>IFERROR(VLOOKUP(A213,'All Countries Data - Current'!$A$1:$D$230,3,FALSE)-VLOOKUP(A213,'All Countries Data - Prev'!$A:$D,3,FALSE), "No Data")</f>
        <v>0</v>
      </c>
      <c r="D213" s="15">
        <f>IF(TRIM(VLOOKUP(A213,'All Countries Data - Current'!$A$1:$D$230,4,FALSE))="No data","No Data",VLOOKUP(A213,'All Countries Data - Current'!$A$1:$D$230,4,FALSE)-VLOOKUP(A213,'All Countries Data - Prev'!$A:$D,4,FALSE))</f>
        <v>0</v>
      </c>
    </row>
    <row r="214" spans="1:4" x14ac:dyDescent="0.25">
      <c r="A214" t="s">
        <v>220</v>
      </c>
      <c r="B214" s="13">
        <f>VLOOKUP(A214,'All Countries Data - Current'!$A$1:$D$230,2,FALSE)-VLOOKUP(A214,'All Countries Data - Prev'!$A:$D,2,FALSE)</f>
        <v>0</v>
      </c>
      <c r="C214" s="13">
        <f>IFERROR(VLOOKUP(A214,'All Countries Data - Current'!$A$1:$D$230,3,FALSE)-VLOOKUP(A214,'All Countries Data - Prev'!$A:$D,3,FALSE), "No Data")</f>
        <v>0</v>
      </c>
      <c r="D214" s="15">
        <f>IF(TRIM(VLOOKUP(A214,'All Countries Data - Current'!$A$1:$D$230,4,FALSE))="No data","No Data",VLOOKUP(A214,'All Countries Data - Current'!$A$1:$D$230,4,FALSE)-VLOOKUP(A214,'All Countries Data - Prev'!$A:$D,4,FALSE))</f>
        <v>0</v>
      </c>
    </row>
    <row r="215" spans="1:4" x14ac:dyDescent="0.25">
      <c r="A215" t="s">
        <v>221</v>
      </c>
      <c r="B215" s="13">
        <f>VLOOKUP(A215,'All Countries Data - Current'!$A$1:$D$230,2,FALSE)-VLOOKUP(A215,'All Countries Data - Prev'!$A:$D,2,FALSE)</f>
        <v>0</v>
      </c>
      <c r="C215" s="13">
        <f>IFERROR(VLOOKUP(A215,'All Countries Data - Current'!$A$1:$D$230,3,FALSE)-VLOOKUP(A215,'All Countries Data - Prev'!$A:$D,3,FALSE), "No Data")</f>
        <v>0</v>
      </c>
      <c r="D215" s="15">
        <f>IF(TRIM(VLOOKUP(A215,'All Countries Data - Current'!$A$1:$D$230,4,FALSE))="No data","No Data",VLOOKUP(A215,'All Countries Data - Current'!$A$1:$D$230,4,FALSE)-VLOOKUP(A215,'All Countries Data - Prev'!$A:$D,4,FALSE))</f>
        <v>0</v>
      </c>
    </row>
    <row r="216" spans="1:4" x14ac:dyDescent="0.25">
      <c r="A216" t="s">
        <v>222</v>
      </c>
      <c r="B216" s="13">
        <f>VLOOKUP(A216,'All Countries Data - Current'!$A$1:$D$230,2,FALSE)-VLOOKUP(A216,'All Countries Data - Prev'!$A:$D,2,FALSE)</f>
        <v>0</v>
      </c>
      <c r="C216" s="13">
        <f>IFERROR(VLOOKUP(A216,'All Countries Data - Current'!$A$1:$D$230,3,FALSE)-VLOOKUP(A216,'All Countries Data - Prev'!$A:$D,3,FALSE), "No Data")</f>
        <v>0</v>
      </c>
      <c r="D216" s="15" t="str">
        <f>IF(TRIM(VLOOKUP(A216,'All Countries Data - Current'!$A$1:$D$230,4,FALSE))="No data","No Data",VLOOKUP(A216,'All Countries Data - Current'!$A$1:$D$230,4,FALSE)-VLOOKUP(A216,'All Countries Data - Prev'!$A:$D,4,FALSE))</f>
        <v>No Data</v>
      </c>
    </row>
    <row r="217" spans="1:4" x14ac:dyDescent="0.25">
      <c r="A217" t="s">
        <v>223</v>
      </c>
      <c r="B217" s="13">
        <f>VLOOKUP(A217,'All Countries Data - Current'!$A$1:$D$230,2,FALSE)-VLOOKUP(A217,'All Countries Data - Prev'!$A:$D,2,FALSE)</f>
        <v>0</v>
      </c>
      <c r="C217" s="13">
        <f>IFERROR(VLOOKUP(A217,'All Countries Data - Current'!$A$1:$D$230,3,FALSE)-VLOOKUP(A217,'All Countries Data - Prev'!$A:$D,3,FALSE), "No Data")</f>
        <v>0</v>
      </c>
      <c r="D217" s="15" t="str">
        <f>IF(TRIM(VLOOKUP(A217,'All Countries Data - Current'!$A$1:$D$230,4,FALSE))="No data","No Data",VLOOKUP(A217,'All Countries Data - Current'!$A$1:$D$230,4,FALSE)-VLOOKUP(A217,'All Countries Data - Prev'!$A:$D,4,FALSE))</f>
        <v>No Data</v>
      </c>
    </row>
    <row r="218" spans="1:4" x14ac:dyDescent="0.25">
      <c r="A218" t="s">
        <v>224</v>
      </c>
      <c r="B218" s="13">
        <f>VLOOKUP(A218,'All Countries Data - Current'!$A$1:$D$230,2,FALSE)-VLOOKUP(A218,'All Countries Data - Prev'!$A:$D,2,FALSE)</f>
        <v>0</v>
      </c>
      <c r="C218" s="13">
        <f>IFERROR(VLOOKUP(A218,'All Countries Data - Current'!$A$1:$D$230,3,FALSE)-VLOOKUP(A218,'All Countries Data - Prev'!$A:$D,3,FALSE), "No Data")</f>
        <v>0</v>
      </c>
      <c r="D218" s="15">
        <f>IF(TRIM(VLOOKUP(A218,'All Countries Data - Current'!$A$1:$D$230,4,FALSE))="No data","No Data",VLOOKUP(A218,'All Countries Data - Current'!$A$1:$D$230,4,FALSE)-VLOOKUP(A218,'All Countries Data - Prev'!$A:$D,4,FALSE))</f>
        <v>0</v>
      </c>
    </row>
    <row r="219" spans="1:4" x14ac:dyDescent="0.25">
      <c r="A219" t="s">
        <v>225</v>
      </c>
      <c r="B219" s="13">
        <f>VLOOKUP(A219,'All Countries Data - Current'!$A$1:$D$230,2,FALSE)-VLOOKUP(A219,'All Countries Data - Prev'!$A:$D,2,FALSE)</f>
        <v>0</v>
      </c>
      <c r="C219" s="13">
        <f>IFERROR(VLOOKUP(A219,'All Countries Data - Current'!$A$1:$D$230,3,FALSE)-VLOOKUP(A219,'All Countries Data - Prev'!$A:$D,3,FALSE), "No Data")</f>
        <v>0</v>
      </c>
      <c r="D219" s="15">
        <f>IF(TRIM(VLOOKUP(A219,'All Countries Data - Current'!$A$1:$D$230,4,FALSE))="No data","No Data",VLOOKUP(A219,'All Countries Data - Current'!$A$1:$D$230,4,FALSE)-VLOOKUP(A219,'All Countries Data - Prev'!$A:$D,4,FALSE))</f>
        <v>0</v>
      </c>
    </row>
    <row r="220" spans="1:4" x14ac:dyDescent="0.25">
      <c r="A220" t="s">
        <v>226</v>
      </c>
      <c r="B220" s="13">
        <f>VLOOKUP(A220,'All Countries Data - Current'!$A$1:$D$230,2,FALSE)-VLOOKUP(A220,'All Countries Data - Prev'!$A:$D,2,FALSE)</f>
        <v>0</v>
      </c>
      <c r="C220" s="13">
        <f>IFERROR(VLOOKUP(A220,'All Countries Data - Current'!$A$1:$D$230,3,FALSE)-VLOOKUP(A220,'All Countries Data - Prev'!$A:$D,3,FALSE), "No Data")</f>
        <v>0</v>
      </c>
      <c r="D220" s="15">
        <f>IF(TRIM(VLOOKUP(A220,'All Countries Data - Current'!$A$1:$D$230,4,FALSE))="No data","No Data",VLOOKUP(A220,'All Countries Data - Current'!$A$1:$D$230,4,FALSE)-VLOOKUP(A220,'All Countries Data - Prev'!$A:$D,4,FALSE))</f>
        <v>0</v>
      </c>
    </row>
    <row r="221" spans="1:4" x14ac:dyDescent="0.25">
      <c r="A221" t="s">
        <v>12</v>
      </c>
      <c r="B221" s="13">
        <f>VLOOKUP(A221,'All Countries Data - Current'!$A$1:$D$230,2,FALSE)-VLOOKUP(A221,'All Countries Data - Prev'!$A:$D,2,FALSE)</f>
        <v>0</v>
      </c>
      <c r="C221" s="13">
        <f>IFERROR(VLOOKUP(A221,'All Countries Data - Current'!$A$1:$D$230,3,FALSE)-VLOOKUP(A221,'All Countries Data - Prev'!$A:$D,3,FALSE), "No Data")</f>
        <v>0</v>
      </c>
      <c r="D221" s="15">
        <f>IF(TRIM(VLOOKUP(A221,'All Countries Data - Current'!$A$1:$D$230,4,FALSE))="No data","No Data",VLOOKUP(A221,'All Countries Data - Current'!$A$1:$D$230,4,FALSE)-VLOOKUP(A221,'All Countries Data - Prev'!$A:$D,4,FALSE))</f>
        <v>0</v>
      </c>
    </row>
    <row r="222" spans="1:4" x14ac:dyDescent="0.25">
      <c r="A222" t="s">
        <v>227</v>
      </c>
      <c r="B222" s="13">
        <f>VLOOKUP(A222,'All Countries Data - Current'!$A$1:$D$230,2,FALSE)-VLOOKUP(A222,'All Countries Data - Prev'!$A:$D,2,FALSE)</f>
        <v>0</v>
      </c>
      <c r="C222" s="13">
        <f>IFERROR(VLOOKUP(A222,'All Countries Data - Current'!$A$1:$D$230,3,FALSE)-VLOOKUP(A222,'All Countries Data - Prev'!$A:$D,3,FALSE), "No Data")</f>
        <v>0</v>
      </c>
      <c r="D222" s="15">
        <f>IF(TRIM(VLOOKUP(A222,'All Countries Data - Current'!$A$1:$D$230,4,FALSE))="No data","No Data",VLOOKUP(A222,'All Countries Data - Current'!$A$1:$D$230,4,FALSE)-VLOOKUP(A222,'All Countries Data - Prev'!$A:$D,4,FALSE))</f>
        <v>0</v>
      </c>
    </row>
    <row r="223" spans="1:4" x14ac:dyDescent="0.25">
      <c r="A223" t="s">
        <v>228</v>
      </c>
      <c r="B223" s="13">
        <f>VLOOKUP(A223,'All Countries Data - Current'!$A$1:$D$230,2,FALSE)-VLOOKUP(A223,'All Countries Data - Prev'!$A:$D,2,FALSE)</f>
        <v>0</v>
      </c>
      <c r="C223" s="13">
        <f>IFERROR(VLOOKUP(A223,'All Countries Data - Current'!$A$1:$D$230,3,FALSE)-VLOOKUP(A223,'All Countries Data - Prev'!$A:$D,3,FALSE), "No Data")</f>
        <v>0</v>
      </c>
      <c r="D223" s="15" t="str">
        <f>IF(TRIM(VLOOKUP(A223,'All Countries Data - Current'!$A$1:$D$230,4,FALSE))="No data","No Data",VLOOKUP(A223,'All Countries Data - Current'!$A$1:$D$230,4,FALSE)-VLOOKUP(A223,'All Countries Data - Prev'!$A:$D,4,FALSE))</f>
        <v>No Data</v>
      </c>
    </row>
    <row r="224" spans="1:4" x14ac:dyDescent="0.25">
      <c r="A224" t="s">
        <v>149</v>
      </c>
      <c r="B224" s="13">
        <f>VLOOKUP(A224,'All Countries Data - Current'!$A$1:$D$230,2,FALSE)-VLOOKUP(A224,'All Countries Data - Prev'!$A:$D,2,FALSE)</f>
        <v>0</v>
      </c>
      <c r="C224" s="13">
        <f>IFERROR(VLOOKUP(A224,'All Countries Data - Current'!$A$1:$D$230,3,FALSE)-VLOOKUP(A224,'All Countries Data - Prev'!$A:$D,3,FALSE), "No Data")</f>
        <v>0</v>
      </c>
      <c r="D224" s="15">
        <f>IF(TRIM(VLOOKUP(A224,'All Countries Data - Current'!$A$1:$D$230,4,FALSE))="No data","No Data",VLOOKUP(A224,'All Countries Data - Current'!$A$1:$D$230,4,FALSE)-VLOOKUP(A224,'All Countries Data - Prev'!$A:$D,4,FALSE))</f>
        <v>0</v>
      </c>
    </row>
    <row r="225" spans="1:4" x14ac:dyDescent="0.25">
      <c r="A225" t="s">
        <v>31</v>
      </c>
      <c r="B225" s="13">
        <f>VLOOKUP(A225,'All Countries Data - Current'!$A$1:$D$230,2,FALSE)-VLOOKUP(A225,'All Countries Data - Prev'!$A:$D,2,FALSE)</f>
        <v>0</v>
      </c>
      <c r="C225" s="13">
        <f>IFERROR(VLOOKUP(A225,'All Countries Data - Current'!$A$1:$D$230,3,FALSE)-VLOOKUP(A225,'All Countries Data - Prev'!$A:$D,3,FALSE), "No Data")</f>
        <v>0</v>
      </c>
      <c r="D225" s="15">
        <f>IF(TRIM(VLOOKUP(A225,'All Countries Data - Current'!$A$1:$D$230,4,FALSE))="No data","No Data",VLOOKUP(A225,'All Countries Data - Current'!$A$1:$D$230,4,FALSE)-VLOOKUP(A225,'All Countries Data - Prev'!$A:$D,4,FALSE))</f>
        <v>0</v>
      </c>
    </row>
    <row r="226" spans="1:4" x14ac:dyDescent="0.25">
      <c r="A226" t="s">
        <v>229</v>
      </c>
      <c r="B226" s="13">
        <f>VLOOKUP(A226,'All Countries Data - Current'!$A$1:$D$230,2,FALSE)-VLOOKUP(A226,'All Countries Data - Prev'!$A:$D,2,FALSE)</f>
        <v>0</v>
      </c>
      <c r="C226" s="13">
        <f>IFERROR(VLOOKUP(A226,'All Countries Data - Current'!$A$1:$D$230,3,FALSE)-VLOOKUP(A226,'All Countries Data - Prev'!$A:$D,3,FALSE), "No Data")</f>
        <v>0</v>
      </c>
      <c r="D226" s="15">
        <f>IF(TRIM(VLOOKUP(A226,'All Countries Data - Current'!$A$1:$D$230,4,FALSE))="No data","No Data",VLOOKUP(A226,'All Countries Data - Current'!$A$1:$D$230,4,FALSE)-VLOOKUP(A226,'All Countries Data - Prev'!$A:$D,4,FALSE))</f>
        <v>0</v>
      </c>
    </row>
    <row r="227" spans="1:4" x14ac:dyDescent="0.25">
      <c r="A227" t="s">
        <v>230</v>
      </c>
      <c r="B227" s="13">
        <f>VLOOKUP(A227,'All Countries Data - Current'!$A$1:$D$230,2,FALSE)-VLOOKUP(A227,'All Countries Data - Prev'!$A:$D,2,FALSE)</f>
        <v>0</v>
      </c>
      <c r="C227" s="13">
        <f>IFERROR(VLOOKUP(A227,'All Countries Data - Current'!$A$1:$D$230,3,FALSE)-VLOOKUP(A227,'All Countries Data - Prev'!$A:$D,3,FALSE), "No Data")</f>
        <v>0</v>
      </c>
      <c r="D227" s="15">
        <f>IF(TRIM(VLOOKUP(A227,'All Countries Data - Current'!$A$1:$D$230,4,FALSE))="No data","No Data",VLOOKUP(A227,'All Countries Data - Current'!$A$1:$D$230,4,FALSE)-VLOOKUP(A227,'All Countries Data - Prev'!$A:$D,4,FALSE))</f>
        <v>0</v>
      </c>
    </row>
    <row r="228" spans="1:4" x14ac:dyDescent="0.25">
      <c r="A228" t="s">
        <v>231</v>
      </c>
      <c r="B228" s="13">
        <f>VLOOKUP(A228,'All Countries Data - Current'!$A$1:$D$230,2,FALSE)-VLOOKUP(A228,'All Countries Data - Prev'!$A:$D,2,FALSE)</f>
        <v>0</v>
      </c>
      <c r="C228" s="13">
        <f>IFERROR(VLOOKUP(A228,'All Countries Data - Current'!$A$1:$D$230,3,FALSE)-VLOOKUP(A228,'All Countries Data - Prev'!$A:$D,3,FALSE), "No Data")</f>
        <v>0</v>
      </c>
      <c r="D228" s="15">
        <f>IF(TRIM(VLOOKUP(A228,'All Countries Data - Current'!$A$1:$D$230,4,FALSE))="No data","No Data",VLOOKUP(A228,'All Countries Data - Current'!$A$1:$D$230,4,FALSE)-VLOOKUP(A228,'All Countries Data - Prev'!$A:$D,4,FALSE))</f>
        <v>0</v>
      </c>
    </row>
    <row r="229" spans="1:4" x14ac:dyDescent="0.25">
      <c r="A229" t="s">
        <v>232</v>
      </c>
      <c r="B229" s="13">
        <f>VLOOKUP(A229,'All Countries Data - Current'!$A$1:$D$230,2,FALSE)-VLOOKUP(A229,'All Countries Data - Prev'!$A:$D,2,FALSE)</f>
        <v>0</v>
      </c>
      <c r="C229" s="13">
        <f>IFERROR(VLOOKUP(A229,'All Countries Data - Current'!$A$1:$D$230,3,FALSE)-VLOOKUP(A229,'All Countries Data - Prev'!$A:$D,3,FALSE), "No Data")</f>
        <v>0</v>
      </c>
      <c r="D229" s="15">
        <f>IF(TRIM(VLOOKUP(A229,'All Countries Data - Current'!$A$1:$D$230,4,FALSE))="No data","No Data",VLOOKUP(A229,'All Countries Data - Current'!$A$1:$D$230,4,FALSE)-VLOOKUP(A229,'All Countries Data - Prev'!$A:$D,4,FALSE))</f>
        <v>0</v>
      </c>
    </row>
    <row r="230" spans="1:4" x14ac:dyDescent="0.25">
      <c r="A230" t="s">
        <v>233</v>
      </c>
      <c r="B230" s="13">
        <f>VLOOKUP(A230,'All Countries Data - Current'!$A$1:$D$230,2,FALSE)-VLOOKUP(A230,'All Countries Data - Prev'!$A:$D,2,FALSE)</f>
        <v>0</v>
      </c>
      <c r="C230" s="13">
        <f>IFERROR(VLOOKUP(A230,'All Countries Data - Current'!$A$1:$D$230,3,FALSE)-VLOOKUP(A230,'All Countries Data - Prev'!$A:$D,3,FALSE), "No Data")</f>
        <v>0</v>
      </c>
      <c r="D230" s="15">
        <f>IF(TRIM(VLOOKUP(A230,'All Countries Data - Current'!$A$1:$D$230,4,FALSE))="No data","No Data",VLOOKUP(A230,'All Countries Data - Current'!$A$1:$D$230,4,FALSE)-VLOOKUP(A230,'All Countries Data - Prev'!$A:$D,4,FALSE))</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FF45F0F-7E12-4E45-929C-1F6EA4A1C9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All Countries Data - Prev</vt:lpstr>
      <vt:lpstr>All Countries Data - Current</vt:lpstr>
      <vt:lpstr>Summary</vt:lpstr>
      <vt:lpstr>Increase From Previous 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Fatih Duzenli</dc:creator>
  <cp:lastModifiedBy>Düzenli,Fatih</cp:lastModifiedBy>
  <dcterms:created xsi:type="dcterms:W3CDTF">2020-05-03T14:17:00Z</dcterms:created>
  <dcterms:modified xsi:type="dcterms:W3CDTF">2020-06-10T16:38:43Z</dcterms:modified>
</cp:coreProperties>
</file>